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Working Estimate" sheetId="2" state="visible" r:id="rId4"/>
    <sheet name="Quote Output" sheetId="3" state="visible" r:id="rId5"/>
    <sheet name="Instructions" sheetId="4" state="visible" r:id="rId6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<sst xmlns="http://schemas.openxmlformats.org/spreadsheetml/2006/main" count="49" uniqueCount="46">
  <si>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</si>
  <si>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</si>
  <si>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</si>
  <si>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</si>
  <si>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</si>
  <si>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</si>
  <si>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</si>
  <si>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</si>
  <si>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</si>
  <si>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</si>
  <si>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</si>
  <si>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</si>
  <si>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Address:</t>
  </si>
  <si>
    <t xml:space="preserve">Client Phone:</t>
  </si>
  <si>
    <t xml:space="preserve">Client Email:</t>
  </si>
  <si>
    <t xml:space="preserve">Quote Number:</t>
  </si>
  <si>
    <t xml:space="preserve">Quote Date:</t>
  </si>
  <si>
    <t xml:space="preserve">Valid Until:</t>
  </si>
  <si>
    <t xml:space="preserve">WORKING ESTIMATE</t>
  </si>
  <si>
    <t xml:space="preserve">Item</t>
  </si>
  <si>
    <t xml:space="preserve">Description</t>
  </si>
  <si>
    <t xml:space="preserve">Qty</t>
  </si>
  <si>
    <t xml:space="preserve">Unit</t>
  </si>
  <si>
    <t xml:space="preserve">Rate ($)</t>
  </si>
  <si>
    <t xml:space="preserve">Cost ($)</t>
  </si>
  <si>
    <t xml:space="preserve">Margin %</t>
  </si>
  <si>
    <t xml:space="preserve">Quote Price ($)</t>
  </si>
  <si>
    <t xml:space="preserve">Subtotal:</t>
  </si>
  <si>
    <t xml:space="preserve">GST (10%):</t>
  </si>
  <si>
    <t xml:space="preserve">TOTAL:</t>
  </si>
  <si>
    <t xml:space="preserve">QUOTATION</t>
  </si>
  <si>
    <t xml:space="preserve">Quote To:</t>
  </si>
  <si>
    <t xml:space="preserve">Project:</t>
  </si>
  <si>
    <t xml:space="preserve">Amount ($)</t>
  </si>
  <si>
    <t xml:space="preserve">Subtotal (excl. GST):</t>
  </si>
  <si>
    <t xml:space="preserve">TOTAL (incl. GST):</t>
  </si>
  <si>
    <t xml:space="preserve">HOW TO USE THIS ESTIMATE TO QUOTE CONVERTER</t>
  </si>
  <si>
    <t xml:space="preserve">QUICK START</t>
  </si>
  <si>
    <t xml:space="preserve">1. Setup</t>
  </si>
  <si>
    <t xml:space="preserve">Enter business and project details.</t>
  </si>
  <si>
    <t xml:space="preserve">2. Estimate</t>
  </si>
  <si>
    <t xml:space="preserve">Enter line items with costs.</t>
  </si>
  <si>
    <t xml:space="preserve">3. Margin</t>
  </si>
  <si>
    <t xml:space="preserve">Set margin % per line to build markup.</t>
  </si>
  <si>
    <t xml:space="preserve">4. Quote</t>
  </si>
  <si>
    <t xml:space="preserve">Quote Output sheet hides your margins.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</si>
</sst>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4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15" hidden="false" customHeight="false" outlineLevel="0" collapsed="false">
      <c r="A19" s="4" t="s">
        <v>15</v>
      </c>
      <c r="B19" s="5"/>
    </row>
    <row r="20" customFormat="false" ht="15" hidden="false" customHeight="false" outlineLevel="0" collapsed="false">
      <c r="A20" s="4" t="s">
        <v>16</v>
      </c>
      <c r="B20" s="5"/>
    </row>
    <row r="21" customFormat="false" ht="15" hidden="false" customHeight="false" outlineLevel="0" collapsed="false">
      <c r="A21" s="4" t="s">
        <v>17</v>
      </c>
      <c r="B21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5"/>
    <col collapsed="false" customWidth="true" hidden="false" outlineLevel="0" max="4" min="3" style="1" width="8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</cols>
  <sheetData>
    <row r="1" customFormat="false" ht="15" hidden="false" customHeight="false" outlineLevel="0" collapsed="false">
      <c r="A1" s="2" t="s">
        <v>18</v>
      </c>
      <c r="B1" s="2"/>
      <c r="C1" s="2"/>
      <c r="D1" s="2"/>
      <c r="E1" s="2"/>
      <c r="F1" s="2"/>
      <c r="G1" s="2"/>
      <c r="H1" s="2"/>
    </row>
    <row r="3" customFormat="false" ht="28.3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</row>
    <row r="4" customFormat="false" ht="15" hidden="false" customHeight="false" outlineLevel="0" collapsed="false">
      <c r="A4" s="7" t="str">
        <f aca="false">IF(B4="","",ROW()-3)</f>
        <v/>
      </c>
      <c r="B4" s="5"/>
      <c r="C4" s="5"/>
      <c r="D4" s="5"/>
      <c r="E4" s="5"/>
      <c r="F4" s="8" t="str">
        <f aca="false">IF(OR(C4="",E4=""),"",C4*E4)</f>
        <v/>
      </c>
      <c r="G4" s="5"/>
      <c r="H4" s="8" t="str">
        <f aca="false">IF(OR(F4="",G4=""),"",F4*(1+G4/100))</f>
        <v/>
      </c>
    </row>
    <row r="5" customFormat="false" ht="15" hidden="false" customHeight="false" outlineLevel="0" collapsed="false">
      <c r="A5" s="7" t="str">
        <f aca="false">IF(B5="","",ROW()-3)</f>
        <v/>
      </c>
      <c r="B5" s="5"/>
      <c r="C5" s="5"/>
      <c r="D5" s="5"/>
      <c r="E5" s="5"/>
      <c r="F5" s="8" t="str">
        <f aca="false">IF(OR(C5="",E5=""),"",C5*E5)</f>
        <v/>
      </c>
      <c r="G5" s="5"/>
      <c r="H5" s="8" t="str">
        <f aca="false">IF(OR(F5="",G5=""),"",F5*(1+G5/100))</f>
        <v/>
      </c>
    </row>
    <row r="6" customFormat="false" ht="15" hidden="false" customHeight="false" outlineLevel="0" collapsed="false">
      <c r="A6" s="7" t="str">
        <f aca="false">IF(B6="","",ROW()-3)</f>
        <v/>
      </c>
      <c r="B6" s="5"/>
      <c r="C6" s="5"/>
      <c r="D6" s="5"/>
      <c r="E6" s="5"/>
      <c r="F6" s="8" t="str">
        <f aca="false">IF(OR(C6="",E6=""),"",C6*E6)</f>
        <v/>
      </c>
      <c r="G6" s="5"/>
      <c r="H6" s="8" t="str">
        <f aca="false">IF(OR(F6="",G6=""),"",F6*(1+G6/100))</f>
        <v/>
      </c>
    </row>
    <row r="7" customFormat="false" ht="15" hidden="false" customHeight="false" outlineLevel="0" collapsed="false">
      <c r="A7" s="7" t="str">
        <f aca="false">IF(B7="","",ROW()-3)</f>
        <v/>
      </c>
      <c r="B7" s="5"/>
      <c r="C7" s="5"/>
      <c r="D7" s="5"/>
      <c r="E7" s="5"/>
      <c r="F7" s="8" t="str">
        <f aca="false">IF(OR(C7="",E7=""),"",C7*E7)</f>
        <v/>
      </c>
      <c r="G7" s="5"/>
      <c r="H7" s="8" t="str">
        <f aca="false">IF(OR(F7="",G7=""),"",F7*(1+G7/100))</f>
        <v/>
      </c>
    </row>
    <row r="8" customFormat="false" ht="15" hidden="false" customHeight="false" outlineLevel="0" collapsed="false">
      <c r="A8" s="7" t="str">
        <f aca="false">IF(B8="","",ROW()-3)</f>
        <v/>
      </c>
      <c r="B8" s="5"/>
      <c r="C8" s="5"/>
      <c r="D8" s="5"/>
      <c r="E8" s="5"/>
      <c r="F8" s="8" t="str">
        <f aca="false">IF(OR(C8="",E8=""),"",C8*E8)</f>
        <v/>
      </c>
      <c r="G8" s="5"/>
      <c r="H8" s="8" t="str">
        <f aca="false">IF(OR(F8="",G8=""),"",F8*(1+G8/100))</f>
        <v/>
      </c>
    </row>
    <row r="9" customFormat="false" ht="15" hidden="false" customHeight="false" outlineLevel="0" collapsed="false">
      <c r="A9" s="7" t="str">
        <f aca="false">IF(B9="","",ROW()-3)</f>
        <v/>
      </c>
      <c r="B9" s="5"/>
      <c r="C9" s="5"/>
      <c r="D9" s="5"/>
      <c r="E9" s="5"/>
      <c r="F9" s="8" t="str">
        <f aca="false">IF(OR(C9="",E9=""),"",C9*E9)</f>
        <v/>
      </c>
      <c r="G9" s="5"/>
      <c r="H9" s="8" t="str">
        <f aca="false">IF(OR(F9="",G9=""),"",F9*(1+G9/100))</f>
        <v/>
      </c>
    </row>
    <row r="10" customFormat="false" ht="15" hidden="false" customHeight="false" outlineLevel="0" collapsed="false">
      <c r="A10" s="7" t="str">
        <f aca="false">IF(B10="","",ROW()-3)</f>
        <v/>
      </c>
      <c r="B10" s="5"/>
      <c r="C10" s="5"/>
      <c r="D10" s="5"/>
      <c r="E10" s="5"/>
      <c r="F10" s="8" t="str">
        <f aca="false">IF(OR(C10="",E10=""),"",C10*E10)</f>
        <v/>
      </c>
      <c r="G10" s="5"/>
      <c r="H10" s="8" t="str">
        <f aca="false">IF(OR(F10="",G10=""),"",F10*(1+G10/100))</f>
        <v/>
      </c>
    </row>
    <row r="11" customFormat="false" ht="15" hidden="false" customHeight="false" outlineLevel="0" collapsed="false">
      <c r="A11" s="7" t="str">
        <f aca="false">IF(B11="","",ROW()-3)</f>
        <v/>
      </c>
      <c r="B11" s="5"/>
      <c r="C11" s="5"/>
      <c r="D11" s="5"/>
      <c r="E11" s="5"/>
      <c r="F11" s="8" t="str">
        <f aca="false">IF(OR(C11="",E11=""),"",C11*E11)</f>
        <v/>
      </c>
      <c r="G11" s="5"/>
      <c r="H11" s="8" t="str">
        <f aca="false">IF(OR(F11="",G11=""),"",F11*(1+G11/100))</f>
        <v/>
      </c>
    </row>
    <row r="12" customFormat="false" ht="15" hidden="false" customHeight="false" outlineLevel="0" collapsed="false">
      <c r="A12" s="7" t="str">
        <f aca="false">IF(B12="","",ROW()-3)</f>
        <v/>
      </c>
      <c r="B12" s="5"/>
      <c r="C12" s="5"/>
      <c r="D12" s="5"/>
      <c r="E12" s="5"/>
      <c r="F12" s="8" t="str">
        <f aca="false">IF(OR(C12="",E12=""),"",C12*E12)</f>
        <v/>
      </c>
      <c r="G12" s="5"/>
      <c r="H12" s="8" t="str">
        <f aca="false">IF(OR(F12="",G12=""),"",F12*(1+G12/100))</f>
        <v/>
      </c>
    </row>
    <row r="13" customFormat="false" ht="15" hidden="false" customHeight="false" outlineLevel="0" collapsed="false">
      <c r="A13" s="7" t="str">
        <f aca="false">IF(B13="","",ROW()-3)</f>
        <v/>
      </c>
      <c r="B13" s="5"/>
      <c r="C13" s="5"/>
      <c r="D13" s="5"/>
      <c r="E13" s="5"/>
      <c r="F13" s="8" t="str">
        <f aca="false">IF(OR(C13="",E13=""),"",C13*E13)</f>
        <v/>
      </c>
      <c r="G13" s="5"/>
      <c r="H13" s="8" t="str">
        <f aca="false">IF(OR(F13="",G13=""),"",F13*(1+G13/100))</f>
        <v/>
      </c>
    </row>
    <row r="14" customFormat="false" ht="15" hidden="false" customHeight="false" outlineLevel="0" collapsed="false">
      <c r="A14" s="7" t="str">
        <f aca="false">IF(B14="","",ROW()-3)</f>
        <v/>
      </c>
      <c r="B14" s="5"/>
      <c r="C14" s="5"/>
      <c r="D14" s="5"/>
      <c r="E14" s="5"/>
      <c r="F14" s="8" t="str">
        <f aca="false">IF(OR(C14="",E14=""),"",C14*E14)</f>
        <v/>
      </c>
      <c r="G14" s="5"/>
      <c r="H14" s="8" t="str">
        <f aca="false">IF(OR(F14="",G14=""),"",F14*(1+G14/100))</f>
        <v/>
      </c>
    </row>
    <row r="15" customFormat="false" ht="15" hidden="false" customHeight="false" outlineLevel="0" collapsed="false">
      <c r="A15" s="7" t="str">
        <f aca="false">IF(B15="","",ROW()-3)</f>
        <v/>
      </c>
      <c r="B15" s="5"/>
      <c r="C15" s="5"/>
      <c r="D15" s="5"/>
      <c r="E15" s="5"/>
      <c r="F15" s="8" t="str">
        <f aca="false">IF(OR(C15="",E15=""),"",C15*E15)</f>
        <v/>
      </c>
      <c r="G15" s="5"/>
      <c r="H15" s="8" t="str">
        <f aca="false">IF(OR(F15="",G15=""),"",F15*(1+G15/100))</f>
        <v/>
      </c>
    </row>
    <row r="16" customFormat="false" ht="15" hidden="false" customHeight="false" outlineLevel="0" collapsed="false">
      <c r="A16" s="7" t="str">
        <f aca="false">IF(B16="","",ROW()-3)</f>
        <v/>
      </c>
      <c r="B16" s="5"/>
      <c r="C16" s="5"/>
      <c r="D16" s="5"/>
      <c r="E16" s="5"/>
      <c r="F16" s="8" t="str">
        <f aca="false">IF(OR(C16="",E16=""),"",C16*E16)</f>
        <v/>
      </c>
      <c r="G16" s="5"/>
      <c r="H16" s="8" t="str">
        <f aca="false">IF(OR(F16="",G16=""),"",F16*(1+G16/100))</f>
        <v/>
      </c>
    </row>
    <row r="17" customFormat="false" ht="15" hidden="false" customHeight="false" outlineLevel="0" collapsed="false">
      <c r="A17" s="7" t="str">
        <f aca="false">IF(B17="","",ROW()-3)</f>
        <v/>
      </c>
      <c r="B17" s="5"/>
      <c r="C17" s="5"/>
      <c r="D17" s="5"/>
      <c r="E17" s="5"/>
      <c r="F17" s="8" t="str">
        <f aca="false">IF(OR(C17="",E17=""),"",C17*E17)</f>
        <v/>
      </c>
      <c r="G17" s="5"/>
      <c r="H17" s="8" t="str">
        <f aca="false">IF(OR(F17="",G17=""),"",F17*(1+G17/100))</f>
        <v/>
      </c>
    </row>
    <row r="18" customFormat="false" ht="15" hidden="false" customHeight="false" outlineLevel="0" collapsed="false">
      <c r="A18" s="7" t="str">
        <f aca="false">IF(B18="","",ROW()-3)</f>
        <v/>
      </c>
      <c r="B18" s="5"/>
      <c r="C18" s="5"/>
      <c r="D18" s="5"/>
      <c r="E18" s="5"/>
      <c r="F18" s="8" t="str">
        <f aca="false">IF(OR(C18="",E18=""),"",C18*E18)</f>
        <v/>
      </c>
      <c r="G18" s="5"/>
      <c r="H18" s="8" t="str">
        <f aca="false">IF(OR(F18="",G18=""),"",F18*(1+G18/100))</f>
        <v/>
      </c>
    </row>
    <row r="19" customFormat="false" ht="15" hidden="false" customHeight="false" outlineLevel="0" collapsed="false">
      <c r="A19" s="7" t="str">
        <f aca="false">IF(B19="","",ROW()-3)</f>
        <v/>
      </c>
      <c r="B19" s="5"/>
      <c r="C19" s="5"/>
      <c r="D19" s="5"/>
      <c r="E19" s="5"/>
      <c r="F19" s="8" t="str">
        <f aca="false">IF(OR(C19="",E19=""),"",C19*E19)</f>
        <v/>
      </c>
      <c r="G19" s="5"/>
      <c r="H19" s="8" t="str">
        <f aca="false">IF(OR(F19="",G19=""),"",F19*(1+G19/100))</f>
        <v/>
      </c>
    </row>
    <row r="20" customFormat="false" ht="15" hidden="false" customHeight="false" outlineLevel="0" collapsed="false">
      <c r="A20" s="7" t="str">
        <f aca="false">IF(B20="","",ROW()-3)</f>
        <v/>
      </c>
      <c r="B20" s="5"/>
      <c r="C20" s="5"/>
      <c r="D20" s="5"/>
      <c r="E20" s="5"/>
      <c r="F20" s="8" t="str">
        <f aca="false">IF(OR(C20="",E20=""),"",C20*E20)</f>
        <v/>
      </c>
      <c r="G20" s="5"/>
      <c r="H20" s="8" t="str">
        <f aca="false">IF(OR(F20="",G20=""),"",F20*(1+G20/100))</f>
        <v/>
      </c>
    </row>
    <row r="21" customFormat="false" ht="15" hidden="false" customHeight="false" outlineLevel="0" collapsed="false">
      <c r="A21" s="7" t="str">
        <f aca="false">IF(B21="","",ROW()-3)</f>
        <v/>
      </c>
      <c r="B21" s="5"/>
      <c r="C21" s="5"/>
      <c r="D21" s="5"/>
      <c r="E21" s="5"/>
      <c r="F21" s="8" t="str">
        <f aca="false">IF(OR(C21="",E21=""),"",C21*E21)</f>
        <v/>
      </c>
      <c r="G21" s="5"/>
      <c r="H21" s="8" t="str">
        <f aca="false">IF(OR(F21="",G21=""),"",F21*(1+G21/100))</f>
        <v/>
      </c>
    </row>
    <row r="22" customFormat="false" ht="15" hidden="false" customHeight="false" outlineLevel="0" collapsed="false">
      <c r="A22" s="7" t="str">
        <f aca="false">IF(B22="","",ROW()-3)</f>
        <v/>
      </c>
      <c r="B22" s="5"/>
      <c r="C22" s="5"/>
      <c r="D22" s="5"/>
      <c r="E22" s="5"/>
      <c r="F22" s="8" t="str">
        <f aca="false">IF(OR(C22="",E22=""),"",C22*E22)</f>
        <v/>
      </c>
      <c r="G22" s="5"/>
      <c r="H22" s="8" t="str">
        <f aca="false">IF(OR(F22="",G22=""),"",F22*(1+G22/100))</f>
        <v/>
      </c>
    </row>
    <row r="23" customFormat="false" ht="15" hidden="false" customHeight="false" outlineLevel="0" collapsed="false">
      <c r="A23" s="7" t="str">
        <f aca="false">IF(B23="","",ROW()-3)</f>
        <v/>
      </c>
      <c r="B23" s="5"/>
      <c r="C23" s="5"/>
      <c r="D23" s="5"/>
      <c r="E23" s="5"/>
      <c r="F23" s="8" t="str">
        <f aca="false">IF(OR(C23="",E23=""),"",C23*E23)</f>
        <v/>
      </c>
      <c r="G23" s="5"/>
      <c r="H23" s="8" t="str">
        <f aca="false">IF(OR(F23="",G23=""),"",F23*(1+G23/100))</f>
        <v/>
      </c>
    </row>
    <row r="24" customFormat="false" ht="15" hidden="false" customHeight="false" outlineLevel="0" collapsed="false">
      <c r="A24" s="7" t="str">
        <f aca="false">IF(B24="","",ROW()-3)</f>
        <v/>
      </c>
      <c r="B24" s="5"/>
      <c r="C24" s="5"/>
      <c r="D24" s="5"/>
      <c r="E24" s="5"/>
      <c r="F24" s="8" t="str">
        <f aca="false">IF(OR(C24="",E24=""),"",C24*E24)</f>
        <v/>
      </c>
      <c r="G24" s="5"/>
      <c r="H24" s="8" t="str">
        <f aca="false">IF(OR(F24="",G24=""),"",F24*(1+G24/100))</f>
        <v/>
      </c>
    </row>
    <row r="25" customFormat="false" ht="15" hidden="false" customHeight="false" outlineLevel="0" collapsed="false">
      <c r="A25" s="7" t="str">
        <f aca="false">IF(B25="","",ROW()-3)</f>
        <v/>
      </c>
      <c r="B25" s="5"/>
      <c r="C25" s="5"/>
      <c r="D25" s="5"/>
      <c r="E25" s="5"/>
      <c r="F25" s="8" t="str">
        <f aca="false">IF(OR(C25="",E25=""),"",C25*E25)</f>
        <v/>
      </c>
      <c r="G25" s="5"/>
      <c r="H25" s="8" t="str">
        <f aca="false">IF(OR(F25="",G25=""),"",F25*(1+G25/100))</f>
        <v/>
      </c>
    </row>
    <row r="26" customFormat="false" ht="15" hidden="false" customHeight="false" outlineLevel="0" collapsed="false">
      <c r="A26" s="7" t="str">
        <f aca="false">IF(B26="","",ROW()-3)</f>
        <v/>
      </c>
      <c r="B26" s="5"/>
      <c r="C26" s="5"/>
      <c r="D26" s="5"/>
      <c r="E26" s="5"/>
      <c r="F26" s="8" t="str">
        <f aca="false">IF(OR(C26="",E26=""),"",C26*E26)</f>
        <v/>
      </c>
      <c r="G26" s="5"/>
      <c r="H26" s="8" t="str">
        <f aca="false">IF(OR(F26="",G26=""),"",F26*(1+G26/100))</f>
        <v/>
      </c>
    </row>
    <row r="27" customFormat="false" ht="15" hidden="false" customHeight="false" outlineLevel="0" collapsed="false">
      <c r="A27" s="7" t="str">
        <f aca="false">IF(B27="","",ROW()-3)</f>
        <v/>
      </c>
      <c r="B27" s="5"/>
      <c r="C27" s="5"/>
      <c r="D27" s="5"/>
      <c r="E27" s="5"/>
      <c r="F27" s="8" t="str">
        <f aca="false">IF(OR(C27="",E27=""),"",C27*E27)</f>
        <v/>
      </c>
      <c r="G27" s="5"/>
      <c r="H27" s="8" t="str">
        <f aca="false">IF(OR(F27="",G27=""),"",F27*(1+G27/100))</f>
        <v/>
      </c>
    </row>
    <row r="28" customFormat="false" ht="15" hidden="false" customHeight="false" outlineLevel="0" collapsed="false">
      <c r="A28" s="7" t="str">
        <f aca="false">IF(B28="","",ROW()-3)</f>
        <v/>
      </c>
      <c r="B28" s="5"/>
      <c r="C28" s="5"/>
      <c r="D28" s="5"/>
      <c r="E28" s="5"/>
      <c r="F28" s="8" t="str">
        <f aca="false">IF(OR(C28="",E28=""),"",C28*E28)</f>
        <v/>
      </c>
      <c r="G28" s="5"/>
      <c r="H28" s="8" t="str">
        <f aca="false">IF(OR(F28="",G28=""),"",F28*(1+G28/100))</f>
        <v/>
      </c>
    </row>
    <row r="29" customFormat="false" ht="15" hidden="false" customHeight="false" outlineLevel="0" collapsed="false">
      <c r="A29" s="7" t="str">
        <f aca="false">IF(B29="","",ROW()-3)</f>
        <v/>
      </c>
      <c r="B29" s="5"/>
      <c r="C29" s="5"/>
      <c r="D29" s="5"/>
      <c r="E29" s="5"/>
      <c r="F29" s="8" t="str">
        <f aca="false">IF(OR(C29="",E29=""),"",C29*E29)</f>
        <v/>
      </c>
      <c r="G29" s="5"/>
      <c r="H29" s="8" t="str">
        <f aca="false">IF(OR(F29="",G29=""),"",F29*(1+G29/100))</f>
        <v/>
      </c>
    </row>
    <row r="30" customFormat="false" ht="15" hidden="false" customHeight="false" outlineLevel="0" collapsed="false">
      <c r="A30" s="7" t="str">
        <f aca="false">IF(B30="","",ROW()-3)</f>
        <v/>
      </c>
      <c r="B30" s="5"/>
      <c r="C30" s="5"/>
      <c r="D30" s="5"/>
      <c r="E30" s="5"/>
      <c r="F30" s="8" t="str">
        <f aca="false">IF(OR(C30="",E30=""),"",C30*E30)</f>
        <v/>
      </c>
      <c r="G30" s="5"/>
      <c r="H30" s="8" t="str">
        <f aca="false">IF(OR(F30="",G30=""),"",F30*(1+G30/100))</f>
        <v/>
      </c>
    </row>
    <row r="31" customFormat="false" ht="15" hidden="false" customHeight="false" outlineLevel="0" collapsed="false">
      <c r="A31" s="7" t="str">
        <f aca="false">IF(B31="","",ROW()-3)</f>
        <v/>
      </c>
      <c r="B31" s="5"/>
      <c r="C31" s="5"/>
      <c r="D31" s="5"/>
      <c r="E31" s="5"/>
      <c r="F31" s="8" t="str">
        <f aca="false">IF(OR(C31="",E31=""),"",C31*E31)</f>
        <v/>
      </c>
      <c r="G31" s="5"/>
      <c r="H31" s="8" t="str">
        <f aca="false">IF(OR(F31="",G31=""),"",F31*(1+G31/100))</f>
        <v/>
      </c>
    </row>
    <row r="32" customFormat="false" ht="15" hidden="false" customHeight="false" outlineLevel="0" collapsed="false">
      <c r="A32" s="7" t="str">
        <f aca="false">IF(B32="","",ROW()-3)</f>
        <v/>
      </c>
      <c r="B32" s="5"/>
      <c r="C32" s="5"/>
      <c r="D32" s="5"/>
      <c r="E32" s="5"/>
      <c r="F32" s="8" t="str">
        <f aca="false">IF(OR(C32="",E32=""),"",C32*E32)</f>
        <v/>
      </c>
      <c r="G32" s="5"/>
      <c r="H32" s="8" t="str">
        <f aca="false">IF(OR(F32="",G32=""),"",F32*(1+G32/100))</f>
        <v/>
      </c>
    </row>
    <row r="33" customFormat="false" ht="15" hidden="false" customHeight="false" outlineLevel="0" collapsed="false">
      <c r="A33" s="7" t="str">
        <f aca="false">IF(B33="","",ROW()-3)</f>
        <v/>
      </c>
      <c r="B33" s="5"/>
      <c r="C33" s="5"/>
      <c r="D33" s="5"/>
      <c r="E33" s="5"/>
      <c r="F33" s="8" t="str">
        <f aca="false">IF(OR(C33="",E33=""),"",C33*E33)</f>
        <v/>
      </c>
      <c r="G33" s="5"/>
      <c r="H33" s="8" t="str">
        <f aca="false">IF(OR(F33="",G33=""),"",F33*(1+G33/100))</f>
        <v/>
      </c>
    </row>
    <row r="35" customFormat="false" ht="15" hidden="false" customHeight="false" outlineLevel="0" collapsed="false">
      <c r="E35" s="4" t="s">
        <v>27</v>
      </c>
      <c r="F35" s="8" t="n">
        <f aca="false">SUM(F4:F34)</f>
        <v>0</v>
      </c>
      <c r="H35" s="8" t="n">
        <f aca="false">SUM(H4:H34)</f>
        <v>0</v>
      </c>
    </row>
    <row r="36" customFormat="false" ht="15" hidden="false" customHeight="false" outlineLevel="0" collapsed="false">
      <c r="E36" s="4" t="s">
        <v>28</v>
      </c>
      <c r="F36" s="8" t="n">
        <f aca="false">F35*0.1</f>
        <v>0</v>
      </c>
      <c r="H36" s="8" t="n">
        <f aca="false">H35*0.1</f>
        <v>0</v>
      </c>
    </row>
    <row r="37" customFormat="false" ht="15" hidden="false" customHeight="false" outlineLevel="0" collapsed="false">
      <c r="E37" s="4" t="s">
        <v>29</v>
      </c>
      <c r="F37" s="9" t="n">
        <f aca="false">F35+F36</f>
        <v>0</v>
      </c>
      <c r="H37" s="9" t="n">
        <f aca="false">H35+H36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40"/>
    <col collapsed="false" customWidth="true" hidden="false" outlineLevel="0" max="3" min="3" style="1" width="18"/>
  </cols>
  <sheetData>
    <row r="1" customFormat="false" ht="17.35" hidden="false" customHeight="false" outlineLevel="0" collapsed="false">
      <c r="A1" s="10" t="n">
        <f aca="false">Setup!B4</f>
        <v>0</v>
      </c>
    </row>
    <row r="2" customFormat="false" ht="15" hidden="false" customHeight="false" outlineLevel="0" collapsed="false">
      <c r="A2" s="3" t="str">
        <f aca="false">IF(Setup!B5="","","ABN: "&amp;Setup!B5)</f>
        <v/>
      </c>
    </row>
    <row r="4" customFormat="false" ht="19.7" hidden="false" customHeight="false" outlineLevel="0" collapsed="false">
      <c r="A4" s="11" t="s">
        <v>30</v>
      </c>
    </row>
    <row r="6" customFormat="false" ht="15" hidden="false" customHeight="false" outlineLevel="0" collapsed="false">
      <c r="A6" s="4" t="s">
        <v>31</v>
      </c>
      <c r="B6" s="5" t="n">
        <f aca="false">Setup!B15</f>
        <v>0</v>
      </c>
      <c r="C6" s="5" t="n">
        <f aca="false">Setup!B19</f>
        <v>0</v>
      </c>
    </row>
    <row r="7" customFormat="false" ht="15" hidden="false" customHeight="false" outlineLevel="0" collapsed="false">
      <c r="A7" s="4" t="s">
        <v>32</v>
      </c>
      <c r="B7" s="5" t="n">
        <f aca="false">Setup!B13</f>
        <v>0</v>
      </c>
      <c r="C7" s="5" t="n">
        <f aca="false">Setup!B20</f>
        <v>0</v>
      </c>
    </row>
    <row r="9" customFormat="false" ht="15" hidden="false" customHeight="false" outlineLevel="0" collapsed="false">
      <c r="A9" s="6" t="s">
        <v>19</v>
      </c>
      <c r="B9" s="6" t="s">
        <v>20</v>
      </c>
      <c r="C9" s="6" t="s">
        <v>33</v>
      </c>
    </row>
    <row r="10" customFormat="false" ht="15" hidden="false" customHeight="false" outlineLevel="0" collapsed="false">
      <c r="A10" s="5" t="str">
        <f aca="false">IF('Working Estimate'!B4="","",'Working Estimate'!A4)</f>
        <v/>
      </c>
      <c r="B10" s="5" t="str">
        <f aca="false">IF('Working Estimate'!B4="","",'Working Estimate'!B4)</f>
        <v/>
      </c>
      <c r="C10" s="5" t="str">
        <f aca="false">IF('Working Estimate'!H4="","",'Working Estimate'!H4)</f>
        <v/>
      </c>
    </row>
    <row r="11" customFormat="false" ht="15" hidden="false" customHeight="false" outlineLevel="0" collapsed="false">
      <c r="A11" s="5" t="str">
        <f aca="false">IF('Working Estimate'!B5="","",'Working Estimate'!A5)</f>
        <v/>
      </c>
      <c r="B11" s="5" t="str">
        <f aca="false">IF('Working Estimate'!B5="","",'Working Estimate'!B5)</f>
        <v/>
      </c>
      <c r="C11" s="5" t="str">
        <f aca="false">IF('Working Estimate'!H5="","",'Working Estimate'!H5)</f>
        <v/>
      </c>
    </row>
    <row r="12" customFormat="false" ht="15" hidden="false" customHeight="false" outlineLevel="0" collapsed="false">
      <c r="A12" s="5" t="str">
        <f aca="false">IF('Working Estimate'!B6="","",'Working Estimate'!A6)</f>
        <v/>
      </c>
      <c r="B12" s="5" t="str">
        <f aca="false">IF('Working Estimate'!B6="","",'Working Estimate'!B6)</f>
        <v/>
      </c>
      <c r="C12" s="5" t="str">
        <f aca="false">IF('Working Estimate'!H6="","",'Working Estimate'!H6)</f>
        <v/>
      </c>
    </row>
    <row r="13" customFormat="false" ht="15" hidden="false" customHeight="false" outlineLevel="0" collapsed="false">
      <c r="A13" s="5" t="str">
        <f aca="false">IF('Working Estimate'!B7="","",'Working Estimate'!A7)</f>
        <v/>
      </c>
      <c r="B13" s="5" t="str">
        <f aca="false">IF('Working Estimate'!B7="","",'Working Estimate'!B7)</f>
        <v/>
      </c>
      <c r="C13" s="5" t="str">
        <f aca="false">IF('Working Estimate'!H7="","",'Working Estimate'!H7)</f>
        <v/>
      </c>
    </row>
    <row r="14" customFormat="false" ht="15" hidden="false" customHeight="false" outlineLevel="0" collapsed="false">
      <c r="A14" s="5" t="str">
        <f aca="false">IF('Working Estimate'!B8="","",'Working Estimate'!A8)</f>
        <v/>
      </c>
      <c r="B14" s="5" t="str">
        <f aca="false">IF('Working Estimate'!B8="","",'Working Estimate'!B8)</f>
        <v/>
      </c>
      <c r="C14" s="5" t="str">
        <f aca="false">IF('Working Estimate'!H8="","",'Working Estimate'!H8)</f>
        <v/>
      </c>
    </row>
    <row r="15" customFormat="false" ht="15" hidden="false" customHeight="false" outlineLevel="0" collapsed="false">
      <c r="A15" s="5" t="str">
        <f aca="false">IF('Working Estimate'!B9="","",'Working Estimate'!A9)</f>
        <v/>
      </c>
      <c r="B15" s="5" t="str">
        <f aca="false">IF('Working Estimate'!B9="","",'Working Estimate'!B9)</f>
        <v/>
      </c>
      <c r="C15" s="5" t="str">
        <f aca="false">IF('Working Estimate'!H9="","",'Working Estimate'!H9)</f>
        <v/>
      </c>
    </row>
    <row r="16" customFormat="false" ht="15" hidden="false" customHeight="false" outlineLevel="0" collapsed="false">
      <c r="A16" s="5" t="str">
        <f aca="false">IF('Working Estimate'!B10="","",'Working Estimate'!A10)</f>
        <v/>
      </c>
      <c r="B16" s="5" t="str">
        <f aca="false">IF('Working Estimate'!B10="","",'Working Estimate'!B10)</f>
        <v/>
      </c>
      <c r="C16" s="5" t="str">
        <f aca="false">IF('Working Estimate'!H10="","",'Working Estimate'!H10)</f>
        <v/>
      </c>
    </row>
    <row r="17" customFormat="false" ht="15" hidden="false" customHeight="false" outlineLevel="0" collapsed="false">
      <c r="A17" s="5" t="str">
        <f aca="false">IF('Working Estimate'!B11="","",'Working Estimate'!A11)</f>
        <v/>
      </c>
      <c r="B17" s="5" t="str">
        <f aca="false">IF('Working Estimate'!B11="","",'Working Estimate'!B11)</f>
        <v/>
      </c>
      <c r="C17" s="5" t="str">
        <f aca="false">IF('Working Estimate'!H11="","",'Working Estimate'!H11)</f>
        <v/>
      </c>
    </row>
    <row r="18" customFormat="false" ht="15" hidden="false" customHeight="false" outlineLevel="0" collapsed="false">
      <c r="A18" s="5" t="str">
        <f aca="false">IF('Working Estimate'!B12="","",'Working Estimate'!A12)</f>
        <v/>
      </c>
      <c r="B18" s="5" t="str">
        <f aca="false">IF('Working Estimate'!B12="","",'Working Estimate'!B12)</f>
        <v/>
      </c>
      <c r="C18" s="5" t="str">
        <f aca="false">IF('Working Estimate'!H12="","",'Working Estimate'!H12)</f>
        <v/>
      </c>
    </row>
    <row r="19" customFormat="false" ht="15" hidden="false" customHeight="false" outlineLevel="0" collapsed="false">
      <c r="A19" s="5" t="str">
        <f aca="false">IF('Working Estimate'!B13="","",'Working Estimate'!A13)</f>
        <v/>
      </c>
      <c r="B19" s="5" t="str">
        <f aca="false">IF('Working Estimate'!B13="","",'Working Estimate'!B13)</f>
        <v/>
      </c>
      <c r="C19" s="5" t="str">
        <f aca="false">IF('Working Estimate'!H13="","",'Working Estimate'!H13)</f>
        <v/>
      </c>
    </row>
    <row r="20" customFormat="false" ht="15" hidden="false" customHeight="false" outlineLevel="0" collapsed="false">
      <c r="A20" s="5" t="str">
        <f aca="false">IF('Working Estimate'!B14="","",'Working Estimate'!A14)</f>
        <v/>
      </c>
      <c r="B20" s="5" t="str">
        <f aca="false">IF('Working Estimate'!B14="","",'Working Estimate'!B14)</f>
        <v/>
      </c>
      <c r="C20" s="5" t="str">
        <f aca="false">IF('Working Estimate'!H14="","",'Working Estimate'!H14)</f>
        <v/>
      </c>
    </row>
    <row r="21" customFormat="false" ht="15" hidden="false" customHeight="false" outlineLevel="0" collapsed="false">
      <c r="A21" s="5" t="str">
        <f aca="false">IF('Working Estimate'!B15="","",'Working Estimate'!A15)</f>
        <v/>
      </c>
      <c r="B21" s="5" t="str">
        <f aca="false">IF('Working Estimate'!B15="","",'Working Estimate'!B15)</f>
        <v/>
      </c>
      <c r="C21" s="5" t="str">
        <f aca="false">IF('Working Estimate'!H15="","",'Working Estimate'!H15)</f>
        <v/>
      </c>
    </row>
    <row r="22" customFormat="false" ht="15" hidden="false" customHeight="false" outlineLevel="0" collapsed="false">
      <c r="A22" s="5" t="str">
        <f aca="false">IF('Working Estimate'!B16="","",'Working Estimate'!A16)</f>
        <v/>
      </c>
      <c r="B22" s="5" t="str">
        <f aca="false">IF('Working Estimate'!B16="","",'Working Estimate'!B16)</f>
        <v/>
      </c>
      <c r="C22" s="5" t="str">
        <f aca="false">IF('Working Estimate'!H16="","",'Working Estimate'!H16)</f>
        <v/>
      </c>
    </row>
    <row r="23" customFormat="false" ht="15" hidden="false" customHeight="false" outlineLevel="0" collapsed="false">
      <c r="A23" s="5" t="str">
        <f aca="false">IF('Working Estimate'!B17="","",'Working Estimate'!A17)</f>
        <v/>
      </c>
      <c r="B23" s="5" t="str">
        <f aca="false">IF('Working Estimate'!B17="","",'Working Estimate'!B17)</f>
        <v/>
      </c>
      <c r="C23" s="5" t="str">
        <f aca="false">IF('Working Estimate'!H17="","",'Working Estimate'!H17)</f>
        <v/>
      </c>
    </row>
    <row r="24" customFormat="false" ht="15" hidden="false" customHeight="false" outlineLevel="0" collapsed="false">
      <c r="A24" s="5" t="str">
        <f aca="false">IF('Working Estimate'!B18="","",'Working Estimate'!A18)</f>
        <v/>
      </c>
      <c r="B24" s="5" t="str">
        <f aca="false">IF('Working Estimate'!B18="","",'Working Estimate'!B18)</f>
        <v/>
      </c>
      <c r="C24" s="5" t="str">
        <f aca="false">IF('Working Estimate'!H18="","",'Working Estimate'!H18)</f>
        <v/>
      </c>
    </row>
    <row r="25" customFormat="false" ht="15" hidden="false" customHeight="false" outlineLevel="0" collapsed="false">
      <c r="A25" s="5" t="str">
        <f aca="false">IF('Working Estimate'!B19="","",'Working Estimate'!A19)</f>
        <v/>
      </c>
      <c r="B25" s="5" t="str">
        <f aca="false">IF('Working Estimate'!B19="","",'Working Estimate'!B19)</f>
        <v/>
      </c>
      <c r="C25" s="5" t="str">
        <f aca="false">IF('Working Estimate'!H19="","",'Working Estimate'!H19)</f>
        <v/>
      </c>
    </row>
    <row r="26" customFormat="false" ht="15" hidden="false" customHeight="false" outlineLevel="0" collapsed="false">
      <c r="A26" s="5" t="str">
        <f aca="false">IF('Working Estimate'!B20="","",'Working Estimate'!A20)</f>
        <v/>
      </c>
      <c r="B26" s="5" t="str">
        <f aca="false">IF('Working Estimate'!B20="","",'Working Estimate'!B20)</f>
        <v/>
      </c>
      <c r="C26" s="5" t="str">
        <f aca="false">IF('Working Estimate'!H20="","",'Working Estimate'!H20)</f>
        <v/>
      </c>
    </row>
    <row r="27" customFormat="false" ht="15" hidden="false" customHeight="false" outlineLevel="0" collapsed="false">
      <c r="A27" s="5" t="str">
        <f aca="false">IF('Working Estimate'!B21="","",'Working Estimate'!A21)</f>
        <v/>
      </c>
      <c r="B27" s="5" t="str">
        <f aca="false">IF('Working Estimate'!B21="","",'Working Estimate'!B21)</f>
        <v/>
      </c>
      <c r="C27" s="5" t="str">
        <f aca="false">IF('Working Estimate'!H21="","",'Working Estimate'!H21)</f>
        <v/>
      </c>
    </row>
    <row r="28" customFormat="false" ht="15" hidden="false" customHeight="false" outlineLevel="0" collapsed="false">
      <c r="A28" s="5" t="str">
        <f aca="false">IF('Working Estimate'!B22="","",'Working Estimate'!A22)</f>
        <v/>
      </c>
      <c r="B28" s="5" t="str">
        <f aca="false">IF('Working Estimate'!B22="","",'Working Estimate'!B22)</f>
        <v/>
      </c>
      <c r="C28" s="5" t="str">
        <f aca="false">IF('Working Estimate'!H22="","",'Working Estimate'!H22)</f>
        <v/>
      </c>
    </row>
    <row r="29" customFormat="false" ht="15" hidden="false" customHeight="false" outlineLevel="0" collapsed="false">
      <c r="A29" s="5" t="str">
        <f aca="false">IF('Working Estimate'!B23="","",'Working Estimate'!A23)</f>
        <v/>
      </c>
      <c r="B29" s="5" t="str">
        <f aca="false">IF('Working Estimate'!B23="","",'Working Estimate'!B23)</f>
        <v/>
      </c>
      <c r="C29" s="5" t="str">
        <f aca="false">IF('Working Estimate'!H23="","",'Working Estimate'!H23)</f>
        <v/>
      </c>
    </row>
    <row r="30" customFormat="false" ht="15" hidden="false" customHeight="false" outlineLevel="0" collapsed="false">
      <c r="A30" s="5" t="str">
        <f aca="false">IF('Working Estimate'!B24="","",'Working Estimate'!A24)</f>
        <v/>
      </c>
      <c r="B30" s="5" t="str">
        <f aca="false">IF('Working Estimate'!B24="","",'Working Estimate'!B24)</f>
        <v/>
      </c>
      <c r="C30" s="5" t="str">
        <f aca="false">IF('Working Estimate'!H24="","",'Working Estimate'!H24)</f>
        <v/>
      </c>
    </row>
    <row r="31" customFormat="false" ht="15" hidden="false" customHeight="false" outlineLevel="0" collapsed="false">
      <c r="A31" s="5" t="str">
        <f aca="false">IF('Working Estimate'!B25="","",'Working Estimate'!A25)</f>
        <v/>
      </c>
      <c r="B31" s="5" t="str">
        <f aca="false">IF('Working Estimate'!B25="","",'Working Estimate'!B25)</f>
        <v/>
      </c>
      <c r="C31" s="5" t="str">
        <f aca="false">IF('Working Estimate'!H25="","",'Working Estimate'!H25)</f>
        <v/>
      </c>
    </row>
    <row r="32" customFormat="false" ht="15" hidden="false" customHeight="false" outlineLevel="0" collapsed="false">
      <c r="A32" s="5" t="str">
        <f aca="false">IF('Working Estimate'!B26="","",'Working Estimate'!A26)</f>
        <v/>
      </c>
      <c r="B32" s="5" t="str">
        <f aca="false">IF('Working Estimate'!B26="","",'Working Estimate'!B26)</f>
        <v/>
      </c>
      <c r="C32" s="5" t="str">
        <f aca="false">IF('Working Estimate'!H26="","",'Working Estimate'!H26)</f>
        <v/>
      </c>
    </row>
    <row r="33" customFormat="false" ht="15" hidden="false" customHeight="false" outlineLevel="0" collapsed="false">
      <c r="A33" s="5" t="str">
        <f aca="false">IF('Working Estimate'!B27="","",'Working Estimate'!A27)</f>
        <v/>
      </c>
      <c r="B33" s="5" t="str">
        <f aca="false">IF('Working Estimate'!B27="","",'Working Estimate'!B27)</f>
        <v/>
      </c>
      <c r="C33" s="5" t="str">
        <f aca="false">IF('Working Estimate'!H27="","",'Working Estimate'!H27)</f>
        <v/>
      </c>
    </row>
    <row r="34" customFormat="false" ht="15" hidden="false" customHeight="false" outlineLevel="0" collapsed="false">
      <c r="A34" s="5" t="str">
        <f aca="false">IF('Working Estimate'!B28="","",'Working Estimate'!A28)</f>
        <v/>
      </c>
      <c r="B34" s="5" t="str">
        <f aca="false">IF('Working Estimate'!B28="","",'Working Estimate'!B28)</f>
        <v/>
      </c>
      <c r="C34" s="5" t="str">
        <f aca="false">IF('Working Estimate'!H28="","",'Working Estimate'!H28)</f>
        <v/>
      </c>
    </row>
    <row r="35" customFormat="false" ht="15" hidden="false" customHeight="false" outlineLevel="0" collapsed="false">
      <c r="A35" s="5" t="str">
        <f aca="false">IF('Working Estimate'!B29="","",'Working Estimate'!A29)</f>
        <v/>
      </c>
      <c r="B35" s="5" t="str">
        <f aca="false">IF('Working Estimate'!B29="","",'Working Estimate'!B29)</f>
        <v/>
      </c>
      <c r="C35" s="5" t="str">
        <f aca="false">IF('Working Estimate'!H29="","",'Working Estimate'!H29)</f>
        <v/>
      </c>
    </row>
    <row r="36" customFormat="false" ht="15" hidden="false" customHeight="false" outlineLevel="0" collapsed="false">
      <c r="A36" s="5" t="str">
        <f aca="false">IF('Working Estimate'!B30="","",'Working Estimate'!A30)</f>
        <v/>
      </c>
      <c r="B36" s="5" t="str">
        <f aca="false">IF('Working Estimate'!B30="","",'Working Estimate'!B30)</f>
        <v/>
      </c>
      <c r="C36" s="5" t="str">
        <f aca="false">IF('Working Estimate'!H30="","",'Working Estimate'!H30)</f>
        <v/>
      </c>
    </row>
    <row r="37" customFormat="false" ht="15" hidden="false" customHeight="false" outlineLevel="0" collapsed="false">
      <c r="A37" s="5" t="str">
        <f aca="false">IF('Working Estimate'!B31="","",'Working Estimate'!A31)</f>
        <v/>
      </c>
      <c r="B37" s="5" t="str">
        <f aca="false">IF('Working Estimate'!B31="","",'Working Estimate'!B31)</f>
        <v/>
      </c>
      <c r="C37" s="5" t="str">
        <f aca="false">IF('Working Estimate'!H31="","",'Working Estimate'!H31)</f>
        <v/>
      </c>
    </row>
    <row r="38" customFormat="false" ht="15" hidden="false" customHeight="false" outlineLevel="0" collapsed="false">
      <c r="A38" s="5" t="str">
        <f aca="false">IF('Working Estimate'!B32="","",'Working Estimate'!A32)</f>
        <v/>
      </c>
      <c r="B38" s="5" t="str">
        <f aca="false">IF('Working Estimate'!B32="","",'Working Estimate'!B32)</f>
        <v/>
      </c>
      <c r="C38" s="5" t="str">
        <f aca="false">IF('Working Estimate'!H32="","",'Working Estimate'!H32)</f>
        <v/>
      </c>
    </row>
    <row r="39" customFormat="false" ht="15" hidden="false" customHeight="false" outlineLevel="0" collapsed="false">
      <c r="A39" s="5" t="str">
        <f aca="false">IF('Working Estimate'!B33="","",'Working Estimate'!A33)</f>
        <v/>
      </c>
      <c r="B39" s="5" t="str">
        <f aca="false">IF('Working Estimate'!B33="","",'Working Estimate'!B33)</f>
        <v/>
      </c>
      <c r="C39" s="5" t="str">
        <f aca="false">IF('Working Estimate'!H33="","",'Working Estimate'!H33)</f>
        <v/>
      </c>
    </row>
    <row r="41" customFormat="false" ht="15" hidden="false" customHeight="false" outlineLevel="0" collapsed="false">
      <c r="B41" s="4" t="s">
        <v>34</v>
      </c>
      <c r="C41" s="8" t="n">
        <f aca="false">'Working Estimate'!H35</f>
        <v>0</v>
      </c>
    </row>
    <row r="42" customFormat="false" ht="15" hidden="false" customHeight="false" outlineLevel="0" collapsed="false">
      <c r="B42" s="4" t="s">
        <v>28</v>
      </c>
      <c r="C42" s="8" t="n">
        <f aca="false">'Working Estimate'!H36</f>
        <v>0</v>
      </c>
    </row>
    <row r="43" customFormat="false" ht="15" hidden="false" customHeight="false" outlineLevel="0" collapsed="false">
      <c r="B43" s="4" t="s">
        <v>35</v>
      </c>
      <c r="C43" s="9" t="n">
        <f aca="false">'Working Estimate'!H37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36</v>
      </c>
      <c r="B1" s="2"/>
    </row>
    <row r="3" customFormat="false" ht="15" hidden="false" customHeight="false" outlineLevel="0" collapsed="false">
      <c r="A3" s="12" t="s">
        <v>37</v>
      </c>
    </row>
    <row r="4" customFormat="false" ht="15" hidden="false" customHeight="false" outlineLevel="0" collapsed="false">
      <c r="A4" s="12" t="s">
        <v>38</v>
      </c>
      <c r="B4" s="3" t="s">
        <v>39</v>
      </c>
    </row>
    <row r="5" customFormat="false" ht="15" hidden="false" customHeight="false" outlineLevel="0" collapsed="false">
      <c r="A5" s="12" t="s">
        <v>40</v>
      </c>
      <c r="B5" s="3" t="s">
        <v>41</v>
      </c>
    </row>
    <row r="6" customFormat="false" ht="15" hidden="false" customHeight="false" outlineLevel="0" collapsed="false">
      <c r="A6" s="12" t="s">
        <v>42</v>
      </c>
      <c r="B6" s="3" t="s">
        <v>43</v>
      </c>
    </row>
    <row r="7" customFormat="false" ht="15" hidden="false" customHeight="false" outlineLevel="0" collapsed="false">
      <c r="A7" s="12" t="s">
        <v>44</v>
      </c>
      <c r="B7" s="3" t="s">
        <v>45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