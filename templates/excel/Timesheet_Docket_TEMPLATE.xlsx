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Docke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hh:mm"/>
    <numFmt numFmtId="166" formatCode="&quot;$&quot;#,##0.00"/>
  </numFmts>
  <fonts count="6">
    <font>
      <name val="Calibri"/>
      <family val="2"/>
      <color theme="1"/>
      <sz val="11"/>
      <scheme val="minor"/>
    </font>
    <font>
      <name val="Cambria"/>
      <b val="1"/>
      <color rgb="FFFFFFFF"/>
      <sz val="12"/>
    </font>
    <font>
      <name val="Cambria"/>
      <b val="1"/>
      <sz val="10"/>
    </font>
    <font>
      <name val="Cambria"/>
      <b val="1"/>
      <color rgb="FFFFFFFF"/>
      <sz val="16"/>
    </font>
    <font>
      <name val="Cambria"/>
      <b val="1"/>
      <color rgb="FFFFFFFF"/>
      <sz val="10"/>
    </font>
    <font>
      <name val="Cambria"/>
      <b val="1"/>
      <color rgb="FF003366"/>
      <sz val="10"/>
    </font>
  </fonts>
  <fills count="4">
    <fill>
      <patternFill/>
    </fill>
    <fill>
      <patternFill patternType="gray125"/>
    </fill>
    <fill>
      <patternFill patternType="solid">
        <fgColor rgb="FF003366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3" fillId="2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4" fillId="2" borderId="1" pivotButton="0" quotePrefix="0" xfId="0"/>
    <xf numFmtId="166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PROJECT SETUP</t>
        </is>
      </c>
    </row>
    <row r="3">
      <c r="A3" s="2" t="inlineStr">
        <is>
          <t>Business Name:</t>
        </is>
      </c>
      <c r="B3" s="3" t="n"/>
    </row>
    <row r="4">
      <c r="A4" s="2" t="inlineStr">
        <is>
          <t>Project Name:</t>
        </is>
      </c>
      <c r="B4" s="3" t="n"/>
    </row>
    <row r="5">
      <c r="A5" s="2" t="inlineStr">
        <is>
          <t>Project Address:</t>
        </is>
      </c>
      <c r="B5" s="3" t="n"/>
    </row>
    <row r="6">
      <c r="A6" s="2" t="inlineStr">
        <is>
          <t>Client Name:</t>
        </is>
      </c>
      <c r="B6" s="3" t="n"/>
    </row>
    <row r="7">
      <c r="A7" s="2" t="inlineStr">
        <is>
          <t>Contract Number:</t>
        </is>
      </c>
      <c r="B7" s="3" t="n"/>
    </row>
    <row r="8">
      <c r="A8" s="2" t="inlineStr">
        <is>
          <t>Default Labour Rate (excl GST):</t>
        </is>
      </c>
      <c r="B8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6" customWidth="1" min="4" max="4"/>
    <col width="8" customWidth="1" min="5" max="5"/>
    <col width="8" customWidth="1" min="6" max="6"/>
    <col width="9" customWidth="1" min="7" max="7"/>
    <col width="8" customWidth="1" min="8" max="8"/>
    <col width="11" customWidth="1" min="9" max="9"/>
    <col width="13" customWidth="1" min="10" max="10"/>
    <col width="13" customWidth="1" min="11" max="11"/>
    <col width="13" customWidth="1" min="12" max="12"/>
    <col width="36" customWidth="1" min="13" max="13"/>
    <col width="16" customWidth="1" min="14" max="14"/>
    <col width="16" customWidth="1" min="15" max="15"/>
  </cols>
  <sheetData>
    <row r="1">
      <c r="A1" s="4" t="inlineStr">
        <is>
          <t>TIMESHEETS AND DAY WORK DOCKETS</t>
        </is>
      </c>
    </row>
    <row r="2">
      <c r="A2" s="5" t="inlineStr">
        <is>
          <t>Project:</t>
        </is>
      </c>
      <c r="B2">
        <f>Setup!$B$4</f>
        <v/>
      </c>
      <c r="D2" s="5" t="inlineStr">
        <is>
          <t>Client:</t>
        </is>
      </c>
      <c r="E2">
        <f>Setup!$B$6</f>
        <v/>
      </c>
    </row>
    <row r="4">
      <c r="A4" s="6" t="inlineStr">
        <is>
          <t>Date</t>
        </is>
      </c>
      <c r="B4" s="6" t="inlineStr">
        <is>
          <t>Docket No</t>
        </is>
      </c>
      <c r="C4" s="6" t="inlineStr">
        <is>
          <t>Worker</t>
        </is>
      </c>
      <c r="D4" s="6" t="inlineStr">
        <is>
          <t>Trade / Role</t>
        </is>
      </c>
      <c r="E4" s="6" t="inlineStr">
        <is>
          <t>Start</t>
        </is>
      </c>
      <c r="F4" s="6" t="inlineStr">
        <is>
          <t>Finish</t>
        </is>
      </c>
      <c r="G4" s="6" t="inlineStr">
        <is>
          <t>Break (min)</t>
        </is>
      </c>
      <c r="H4" s="6" t="inlineStr">
        <is>
          <t>Hours</t>
        </is>
      </c>
      <c r="I4" s="6" t="inlineStr">
        <is>
          <t>Rate (excl GST)</t>
        </is>
      </c>
      <c r="J4" s="6" t="inlineStr">
        <is>
          <t>Labour (excl GST)</t>
        </is>
      </c>
      <c r="K4" s="6" t="inlineStr">
        <is>
          <t>Materials / Plant (excl GST)</t>
        </is>
      </c>
      <c r="L4" s="6" t="inlineStr">
        <is>
          <t>Total (excl GST)</t>
        </is>
      </c>
      <c r="M4" s="6" t="inlineStr">
        <is>
          <t>Work Done</t>
        </is>
      </c>
      <c r="N4" s="6" t="inlineStr">
        <is>
          <t>Charge To (Contract / VAR No)</t>
        </is>
      </c>
      <c r="O4" s="6" t="inlineStr">
        <is>
          <t>Signed Off By</t>
        </is>
      </c>
    </row>
    <row r="5">
      <c r="A5" s="7" t="n"/>
      <c r="B5" s="3" t="n"/>
      <c r="C5" s="3" t="n"/>
      <c r="D5" s="3" t="n"/>
      <c r="E5" s="8" t="n"/>
      <c r="F5" s="8" t="n"/>
      <c r="G5" s="3" t="n"/>
      <c r="H5" s="3">
        <f>IF(OR(E5="",F5=""),"",ROUND(MOD(F5-E5,1)*24-N(G5)/60,2))</f>
        <v/>
      </c>
      <c r="I5" s="9">
        <f>Setup!$B$8</f>
        <v/>
      </c>
      <c r="J5" s="9">
        <f>IF(H5="","",ROUND(H5*I5,2))</f>
        <v/>
      </c>
      <c r="K5" s="9" t="n"/>
      <c r="L5" s="9">
        <f>IF(AND(J5="",K5=""),"",N(J5)+N(K5))</f>
        <v/>
      </c>
      <c r="M5" s="3" t="n"/>
      <c r="N5" s="3" t="n"/>
      <c r="O5" s="3" t="n"/>
    </row>
    <row r="6">
      <c r="A6" s="7" t="n"/>
      <c r="B6" s="3" t="n"/>
      <c r="C6" s="3" t="n"/>
      <c r="D6" s="3" t="n"/>
      <c r="E6" s="8" t="n"/>
      <c r="F6" s="8" t="n"/>
      <c r="G6" s="3" t="n"/>
      <c r="H6" s="3">
        <f>IF(OR(E6="",F6=""),"",ROUND(MOD(F6-E6,1)*24-N(G6)/60,2))</f>
        <v/>
      </c>
      <c r="I6" s="9">
        <f>Setup!$B$8</f>
        <v/>
      </c>
      <c r="J6" s="9">
        <f>IF(H6="","",ROUND(H6*I6,2))</f>
        <v/>
      </c>
      <c r="K6" s="9" t="n"/>
      <c r="L6" s="9">
        <f>IF(AND(J6="",K6=""),"",N(J6)+N(K6))</f>
        <v/>
      </c>
      <c r="M6" s="3" t="n"/>
      <c r="N6" s="3" t="n"/>
      <c r="O6" s="3" t="n"/>
    </row>
    <row r="7">
      <c r="A7" s="7" t="n"/>
      <c r="B7" s="3" t="n"/>
      <c r="C7" s="3" t="n"/>
      <c r="D7" s="3" t="n"/>
      <c r="E7" s="8" t="n"/>
      <c r="F7" s="8" t="n"/>
      <c r="G7" s="3" t="n"/>
      <c r="H7" s="3">
        <f>IF(OR(E7="",F7=""),"",ROUND(MOD(F7-E7,1)*24-N(G7)/60,2))</f>
        <v/>
      </c>
      <c r="I7" s="9">
        <f>Setup!$B$8</f>
        <v/>
      </c>
      <c r="J7" s="9">
        <f>IF(H7="","",ROUND(H7*I7,2))</f>
        <v/>
      </c>
      <c r="K7" s="9" t="n"/>
      <c r="L7" s="9">
        <f>IF(AND(J7="",K7=""),"",N(J7)+N(K7))</f>
        <v/>
      </c>
      <c r="M7" s="3" t="n"/>
      <c r="N7" s="3" t="n"/>
      <c r="O7" s="3" t="n"/>
    </row>
    <row r="8">
      <c r="A8" s="7" t="n"/>
      <c r="B8" s="3" t="n"/>
      <c r="C8" s="3" t="n"/>
      <c r="D8" s="3" t="n"/>
      <c r="E8" s="8" t="n"/>
      <c r="F8" s="8" t="n"/>
      <c r="G8" s="3" t="n"/>
      <c r="H8" s="3">
        <f>IF(OR(E8="",F8=""),"",ROUND(MOD(F8-E8,1)*24-N(G8)/60,2))</f>
        <v/>
      </c>
      <c r="I8" s="9">
        <f>Setup!$B$8</f>
        <v/>
      </c>
      <c r="J8" s="9">
        <f>IF(H8="","",ROUND(H8*I8,2))</f>
        <v/>
      </c>
      <c r="K8" s="9" t="n"/>
      <c r="L8" s="9">
        <f>IF(AND(J8="",K8=""),"",N(J8)+N(K8))</f>
        <v/>
      </c>
      <c r="M8" s="3" t="n"/>
      <c r="N8" s="3" t="n"/>
      <c r="O8" s="3" t="n"/>
    </row>
    <row r="9">
      <c r="A9" s="7" t="n"/>
      <c r="B9" s="3" t="n"/>
      <c r="C9" s="3" t="n"/>
      <c r="D9" s="3" t="n"/>
      <c r="E9" s="8" t="n"/>
      <c r="F9" s="8" t="n"/>
      <c r="G9" s="3" t="n"/>
      <c r="H9" s="3">
        <f>IF(OR(E9="",F9=""),"",ROUND(MOD(F9-E9,1)*24-N(G9)/60,2))</f>
        <v/>
      </c>
      <c r="I9" s="9">
        <f>Setup!$B$8</f>
        <v/>
      </c>
      <c r="J9" s="9">
        <f>IF(H9="","",ROUND(H9*I9,2))</f>
        <v/>
      </c>
      <c r="K9" s="9" t="n"/>
      <c r="L9" s="9">
        <f>IF(AND(J9="",K9=""),"",N(J9)+N(K9))</f>
        <v/>
      </c>
      <c r="M9" s="3" t="n"/>
      <c r="N9" s="3" t="n"/>
      <c r="O9" s="3" t="n"/>
    </row>
    <row r="10">
      <c r="A10" s="7" t="n"/>
      <c r="B10" s="3" t="n"/>
      <c r="C10" s="3" t="n"/>
      <c r="D10" s="3" t="n"/>
      <c r="E10" s="8" t="n"/>
      <c r="F10" s="8" t="n"/>
      <c r="G10" s="3" t="n"/>
      <c r="H10" s="3">
        <f>IF(OR(E10="",F10=""),"",ROUND(MOD(F10-E10,1)*24-N(G10)/60,2))</f>
        <v/>
      </c>
      <c r="I10" s="9">
        <f>Setup!$B$8</f>
        <v/>
      </c>
      <c r="J10" s="9">
        <f>IF(H10="","",ROUND(H10*I10,2))</f>
        <v/>
      </c>
      <c r="K10" s="9" t="n"/>
      <c r="L10" s="9">
        <f>IF(AND(J10="",K10=""),"",N(J10)+N(K10))</f>
        <v/>
      </c>
      <c r="M10" s="3" t="n"/>
      <c r="N10" s="3" t="n"/>
      <c r="O10" s="3" t="n"/>
    </row>
    <row r="11">
      <c r="A11" s="7" t="n"/>
      <c r="B11" s="3" t="n"/>
      <c r="C11" s="3" t="n"/>
      <c r="D11" s="3" t="n"/>
      <c r="E11" s="8" t="n"/>
      <c r="F11" s="8" t="n"/>
      <c r="G11" s="3" t="n"/>
      <c r="H11" s="3">
        <f>IF(OR(E11="",F11=""),"",ROUND(MOD(F11-E11,1)*24-N(G11)/60,2))</f>
        <v/>
      </c>
      <c r="I11" s="9">
        <f>Setup!$B$8</f>
        <v/>
      </c>
      <c r="J11" s="9">
        <f>IF(H11="","",ROUND(H11*I11,2))</f>
        <v/>
      </c>
      <c r="K11" s="9" t="n"/>
      <c r="L11" s="9">
        <f>IF(AND(J11="",K11=""),"",N(J11)+N(K11))</f>
        <v/>
      </c>
      <c r="M11" s="3" t="n"/>
      <c r="N11" s="3" t="n"/>
      <c r="O11" s="3" t="n"/>
    </row>
    <row r="12">
      <c r="A12" s="7" t="n"/>
      <c r="B12" s="3" t="n"/>
      <c r="C12" s="3" t="n"/>
      <c r="D12" s="3" t="n"/>
      <c r="E12" s="8" t="n"/>
      <c r="F12" s="8" t="n"/>
      <c r="G12" s="3" t="n"/>
      <c r="H12" s="3">
        <f>IF(OR(E12="",F12=""),"",ROUND(MOD(F12-E12,1)*24-N(G12)/60,2))</f>
        <v/>
      </c>
      <c r="I12" s="9">
        <f>Setup!$B$8</f>
        <v/>
      </c>
      <c r="J12" s="9">
        <f>IF(H12="","",ROUND(H12*I12,2))</f>
        <v/>
      </c>
      <c r="K12" s="9" t="n"/>
      <c r="L12" s="9">
        <f>IF(AND(J12="",K12=""),"",N(J12)+N(K12))</f>
        <v/>
      </c>
      <c r="M12" s="3" t="n"/>
      <c r="N12" s="3" t="n"/>
      <c r="O12" s="3" t="n"/>
    </row>
    <row r="13">
      <c r="A13" s="7" t="n"/>
      <c r="B13" s="3" t="n"/>
      <c r="C13" s="3" t="n"/>
      <c r="D13" s="3" t="n"/>
      <c r="E13" s="8" t="n"/>
      <c r="F13" s="8" t="n"/>
      <c r="G13" s="3" t="n"/>
      <c r="H13" s="3">
        <f>IF(OR(E13="",F13=""),"",ROUND(MOD(F13-E13,1)*24-N(G13)/60,2))</f>
        <v/>
      </c>
      <c r="I13" s="9">
        <f>Setup!$B$8</f>
        <v/>
      </c>
      <c r="J13" s="9">
        <f>IF(H13="","",ROUND(H13*I13,2))</f>
        <v/>
      </c>
      <c r="K13" s="9" t="n"/>
      <c r="L13" s="9">
        <f>IF(AND(J13="",K13=""),"",N(J13)+N(K13))</f>
        <v/>
      </c>
      <c r="M13" s="3" t="n"/>
      <c r="N13" s="3" t="n"/>
      <c r="O13" s="3" t="n"/>
    </row>
    <row r="14">
      <c r="A14" s="7" t="n"/>
      <c r="B14" s="3" t="n"/>
      <c r="C14" s="3" t="n"/>
      <c r="D14" s="3" t="n"/>
      <c r="E14" s="8" t="n"/>
      <c r="F14" s="8" t="n"/>
      <c r="G14" s="3" t="n"/>
      <c r="H14" s="3">
        <f>IF(OR(E14="",F14=""),"",ROUND(MOD(F14-E14,1)*24-N(G14)/60,2))</f>
        <v/>
      </c>
      <c r="I14" s="9">
        <f>Setup!$B$8</f>
        <v/>
      </c>
      <c r="J14" s="9">
        <f>IF(H14="","",ROUND(H14*I14,2))</f>
        <v/>
      </c>
      <c r="K14" s="9" t="n"/>
      <c r="L14" s="9">
        <f>IF(AND(J14="",K14=""),"",N(J14)+N(K14))</f>
        <v/>
      </c>
      <c r="M14" s="3" t="n"/>
      <c r="N14" s="3" t="n"/>
      <c r="O14" s="3" t="n"/>
    </row>
    <row r="15">
      <c r="A15" s="7" t="n"/>
      <c r="B15" s="3" t="n"/>
      <c r="C15" s="3" t="n"/>
      <c r="D15" s="3" t="n"/>
      <c r="E15" s="8" t="n"/>
      <c r="F15" s="8" t="n"/>
      <c r="G15" s="3" t="n"/>
      <c r="H15" s="3">
        <f>IF(OR(E15="",F15=""),"",ROUND(MOD(F15-E15,1)*24-N(G15)/60,2))</f>
        <v/>
      </c>
      <c r="I15" s="9">
        <f>Setup!$B$8</f>
        <v/>
      </c>
      <c r="J15" s="9">
        <f>IF(H15="","",ROUND(H15*I15,2))</f>
        <v/>
      </c>
      <c r="K15" s="9" t="n"/>
      <c r="L15" s="9">
        <f>IF(AND(J15="",K15=""),"",N(J15)+N(K15))</f>
        <v/>
      </c>
      <c r="M15" s="3" t="n"/>
      <c r="N15" s="3" t="n"/>
      <c r="O15" s="3" t="n"/>
    </row>
    <row r="16">
      <c r="A16" s="7" t="n"/>
      <c r="B16" s="3" t="n"/>
      <c r="C16" s="3" t="n"/>
      <c r="D16" s="3" t="n"/>
      <c r="E16" s="8" t="n"/>
      <c r="F16" s="8" t="n"/>
      <c r="G16" s="3" t="n"/>
      <c r="H16" s="3">
        <f>IF(OR(E16="",F16=""),"",ROUND(MOD(F16-E16,1)*24-N(G16)/60,2))</f>
        <v/>
      </c>
      <c r="I16" s="9">
        <f>Setup!$B$8</f>
        <v/>
      </c>
      <c r="J16" s="9">
        <f>IF(H16="","",ROUND(H16*I16,2))</f>
        <v/>
      </c>
      <c r="K16" s="9" t="n"/>
      <c r="L16" s="9">
        <f>IF(AND(J16="",K16=""),"",N(J16)+N(K16))</f>
        <v/>
      </c>
      <c r="M16" s="3" t="n"/>
      <c r="N16" s="3" t="n"/>
      <c r="O16" s="3" t="n"/>
    </row>
    <row r="17">
      <c r="A17" s="7" t="n"/>
      <c r="B17" s="3" t="n"/>
      <c r="C17" s="3" t="n"/>
      <c r="D17" s="3" t="n"/>
      <c r="E17" s="8" t="n"/>
      <c r="F17" s="8" t="n"/>
      <c r="G17" s="3" t="n"/>
      <c r="H17" s="3">
        <f>IF(OR(E17="",F17=""),"",ROUND(MOD(F17-E17,1)*24-N(G17)/60,2))</f>
        <v/>
      </c>
      <c r="I17" s="9">
        <f>Setup!$B$8</f>
        <v/>
      </c>
      <c r="J17" s="9">
        <f>IF(H17="","",ROUND(H17*I17,2))</f>
        <v/>
      </c>
      <c r="K17" s="9" t="n"/>
      <c r="L17" s="9">
        <f>IF(AND(J17="",K17=""),"",N(J17)+N(K17))</f>
        <v/>
      </c>
      <c r="M17" s="3" t="n"/>
      <c r="N17" s="3" t="n"/>
      <c r="O17" s="3" t="n"/>
    </row>
    <row r="18">
      <c r="A18" s="7" t="n"/>
      <c r="B18" s="3" t="n"/>
      <c r="C18" s="3" t="n"/>
      <c r="D18" s="3" t="n"/>
      <c r="E18" s="8" t="n"/>
      <c r="F18" s="8" t="n"/>
      <c r="G18" s="3" t="n"/>
      <c r="H18" s="3">
        <f>IF(OR(E18="",F18=""),"",ROUND(MOD(F18-E18,1)*24-N(G18)/60,2))</f>
        <v/>
      </c>
      <c r="I18" s="9">
        <f>Setup!$B$8</f>
        <v/>
      </c>
      <c r="J18" s="9">
        <f>IF(H18="","",ROUND(H18*I18,2))</f>
        <v/>
      </c>
      <c r="K18" s="9" t="n"/>
      <c r="L18" s="9">
        <f>IF(AND(J18="",K18=""),"",N(J18)+N(K18))</f>
        <v/>
      </c>
      <c r="M18" s="3" t="n"/>
      <c r="N18" s="3" t="n"/>
      <c r="O18" s="3" t="n"/>
    </row>
    <row r="19">
      <c r="A19" s="7" t="n"/>
      <c r="B19" s="3" t="n"/>
      <c r="C19" s="3" t="n"/>
      <c r="D19" s="3" t="n"/>
      <c r="E19" s="8" t="n"/>
      <c r="F19" s="8" t="n"/>
      <c r="G19" s="3" t="n"/>
      <c r="H19" s="3">
        <f>IF(OR(E19="",F19=""),"",ROUND(MOD(F19-E19,1)*24-N(G19)/60,2))</f>
        <v/>
      </c>
      <c r="I19" s="9">
        <f>Setup!$B$8</f>
        <v/>
      </c>
      <c r="J19" s="9">
        <f>IF(H19="","",ROUND(H19*I19,2))</f>
        <v/>
      </c>
      <c r="K19" s="9" t="n"/>
      <c r="L19" s="9">
        <f>IF(AND(J19="",K19=""),"",N(J19)+N(K19))</f>
        <v/>
      </c>
      <c r="M19" s="3" t="n"/>
      <c r="N19" s="3" t="n"/>
      <c r="O19" s="3" t="n"/>
    </row>
    <row r="20">
      <c r="A20" s="7" t="n"/>
      <c r="B20" s="3" t="n"/>
      <c r="C20" s="3" t="n"/>
      <c r="D20" s="3" t="n"/>
      <c r="E20" s="8" t="n"/>
      <c r="F20" s="8" t="n"/>
      <c r="G20" s="3" t="n"/>
      <c r="H20" s="3">
        <f>IF(OR(E20="",F20=""),"",ROUND(MOD(F20-E20,1)*24-N(G20)/60,2))</f>
        <v/>
      </c>
      <c r="I20" s="9">
        <f>Setup!$B$8</f>
        <v/>
      </c>
      <c r="J20" s="9">
        <f>IF(H20="","",ROUND(H20*I20,2))</f>
        <v/>
      </c>
      <c r="K20" s="9" t="n"/>
      <c r="L20" s="9">
        <f>IF(AND(J20="",K20=""),"",N(J20)+N(K20))</f>
        <v/>
      </c>
      <c r="M20" s="3" t="n"/>
      <c r="N20" s="3" t="n"/>
      <c r="O20" s="3" t="n"/>
    </row>
    <row r="21">
      <c r="A21" s="7" t="n"/>
      <c r="B21" s="3" t="n"/>
      <c r="C21" s="3" t="n"/>
      <c r="D21" s="3" t="n"/>
      <c r="E21" s="8" t="n"/>
      <c r="F21" s="8" t="n"/>
      <c r="G21" s="3" t="n"/>
      <c r="H21" s="3">
        <f>IF(OR(E21="",F21=""),"",ROUND(MOD(F21-E21,1)*24-N(G21)/60,2))</f>
        <v/>
      </c>
      <c r="I21" s="9">
        <f>Setup!$B$8</f>
        <v/>
      </c>
      <c r="J21" s="9">
        <f>IF(H21="","",ROUND(H21*I21,2))</f>
        <v/>
      </c>
      <c r="K21" s="9" t="n"/>
      <c r="L21" s="9">
        <f>IF(AND(J21="",K21=""),"",N(J21)+N(K21))</f>
        <v/>
      </c>
      <c r="M21" s="3" t="n"/>
      <c r="N21" s="3" t="n"/>
      <c r="O21" s="3" t="n"/>
    </row>
    <row r="22">
      <c r="A22" s="7" t="n"/>
      <c r="B22" s="3" t="n"/>
      <c r="C22" s="3" t="n"/>
      <c r="D22" s="3" t="n"/>
      <c r="E22" s="8" t="n"/>
      <c r="F22" s="8" t="n"/>
      <c r="G22" s="3" t="n"/>
      <c r="H22" s="3">
        <f>IF(OR(E22="",F22=""),"",ROUND(MOD(F22-E22,1)*24-N(G22)/60,2))</f>
        <v/>
      </c>
      <c r="I22" s="9">
        <f>Setup!$B$8</f>
        <v/>
      </c>
      <c r="J22" s="9">
        <f>IF(H22="","",ROUND(H22*I22,2))</f>
        <v/>
      </c>
      <c r="K22" s="9" t="n"/>
      <c r="L22" s="9">
        <f>IF(AND(J22="",K22=""),"",N(J22)+N(K22))</f>
        <v/>
      </c>
      <c r="M22" s="3" t="n"/>
      <c r="N22" s="3" t="n"/>
      <c r="O22" s="3" t="n"/>
    </row>
    <row r="23">
      <c r="A23" s="7" t="n"/>
      <c r="B23" s="3" t="n"/>
      <c r="C23" s="3" t="n"/>
      <c r="D23" s="3" t="n"/>
      <c r="E23" s="8" t="n"/>
      <c r="F23" s="8" t="n"/>
      <c r="G23" s="3" t="n"/>
      <c r="H23" s="3">
        <f>IF(OR(E23="",F23=""),"",ROUND(MOD(F23-E23,1)*24-N(G23)/60,2))</f>
        <v/>
      </c>
      <c r="I23" s="9">
        <f>Setup!$B$8</f>
        <v/>
      </c>
      <c r="J23" s="9">
        <f>IF(H23="","",ROUND(H23*I23,2))</f>
        <v/>
      </c>
      <c r="K23" s="9" t="n"/>
      <c r="L23" s="9">
        <f>IF(AND(J23="",K23=""),"",N(J23)+N(K23))</f>
        <v/>
      </c>
      <c r="M23" s="3" t="n"/>
      <c r="N23" s="3" t="n"/>
      <c r="O23" s="3" t="n"/>
    </row>
    <row r="24">
      <c r="A24" s="7" t="n"/>
      <c r="B24" s="3" t="n"/>
      <c r="C24" s="3" t="n"/>
      <c r="D24" s="3" t="n"/>
      <c r="E24" s="8" t="n"/>
      <c r="F24" s="8" t="n"/>
      <c r="G24" s="3" t="n"/>
      <c r="H24" s="3">
        <f>IF(OR(E24="",F24=""),"",ROUND(MOD(F24-E24,1)*24-N(G24)/60,2))</f>
        <v/>
      </c>
      <c r="I24" s="9">
        <f>Setup!$B$8</f>
        <v/>
      </c>
      <c r="J24" s="9">
        <f>IF(H24="","",ROUND(H24*I24,2))</f>
        <v/>
      </c>
      <c r="K24" s="9" t="n"/>
      <c r="L24" s="9">
        <f>IF(AND(J24="",K24=""),"",N(J24)+N(K24))</f>
        <v/>
      </c>
      <c r="M24" s="3" t="n"/>
      <c r="N24" s="3" t="n"/>
      <c r="O24" s="3" t="n"/>
    </row>
    <row r="25">
      <c r="A25" s="7" t="n"/>
      <c r="B25" s="3" t="n"/>
      <c r="C25" s="3" t="n"/>
      <c r="D25" s="3" t="n"/>
      <c r="E25" s="8" t="n"/>
      <c r="F25" s="8" t="n"/>
      <c r="G25" s="3" t="n"/>
      <c r="H25" s="3">
        <f>IF(OR(E25="",F25=""),"",ROUND(MOD(F25-E25,1)*24-N(G25)/60,2))</f>
        <v/>
      </c>
      <c r="I25" s="9">
        <f>Setup!$B$8</f>
        <v/>
      </c>
      <c r="J25" s="9">
        <f>IF(H25="","",ROUND(H25*I25,2))</f>
        <v/>
      </c>
      <c r="K25" s="9" t="n"/>
      <c r="L25" s="9">
        <f>IF(AND(J25="",K25=""),"",N(J25)+N(K25))</f>
        <v/>
      </c>
      <c r="M25" s="3" t="n"/>
      <c r="N25" s="3" t="n"/>
      <c r="O25" s="3" t="n"/>
    </row>
    <row r="26">
      <c r="A26" s="7" t="n"/>
      <c r="B26" s="3" t="n"/>
      <c r="C26" s="3" t="n"/>
      <c r="D26" s="3" t="n"/>
      <c r="E26" s="8" t="n"/>
      <c r="F26" s="8" t="n"/>
      <c r="G26" s="3" t="n"/>
      <c r="H26" s="3">
        <f>IF(OR(E26="",F26=""),"",ROUND(MOD(F26-E26,1)*24-N(G26)/60,2))</f>
        <v/>
      </c>
      <c r="I26" s="9">
        <f>Setup!$B$8</f>
        <v/>
      </c>
      <c r="J26" s="9">
        <f>IF(H26="","",ROUND(H26*I26,2))</f>
        <v/>
      </c>
      <c r="K26" s="9" t="n"/>
      <c r="L26" s="9">
        <f>IF(AND(J26="",K26=""),"",N(J26)+N(K26))</f>
        <v/>
      </c>
      <c r="M26" s="3" t="n"/>
      <c r="N26" s="3" t="n"/>
      <c r="O26" s="3" t="n"/>
    </row>
    <row r="27">
      <c r="A27" s="7" t="n"/>
      <c r="B27" s="3" t="n"/>
      <c r="C27" s="3" t="n"/>
      <c r="D27" s="3" t="n"/>
      <c r="E27" s="8" t="n"/>
      <c r="F27" s="8" t="n"/>
      <c r="G27" s="3" t="n"/>
      <c r="H27" s="3">
        <f>IF(OR(E27="",F27=""),"",ROUND(MOD(F27-E27,1)*24-N(G27)/60,2))</f>
        <v/>
      </c>
      <c r="I27" s="9">
        <f>Setup!$B$8</f>
        <v/>
      </c>
      <c r="J27" s="9">
        <f>IF(H27="","",ROUND(H27*I27,2))</f>
        <v/>
      </c>
      <c r="K27" s="9" t="n"/>
      <c r="L27" s="9">
        <f>IF(AND(J27="",K27=""),"",N(J27)+N(K27))</f>
        <v/>
      </c>
      <c r="M27" s="3" t="n"/>
      <c r="N27" s="3" t="n"/>
      <c r="O27" s="3" t="n"/>
    </row>
    <row r="28">
      <c r="A28" s="7" t="n"/>
      <c r="B28" s="3" t="n"/>
      <c r="C28" s="3" t="n"/>
      <c r="D28" s="3" t="n"/>
      <c r="E28" s="8" t="n"/>
      <c r="F28" s="8" t="n"/>
      <c r="G28" s="3" t="n"/>
      <c r="H28" s="3">
        <f>IF(OR(E28="",F28=""),"",ROUND(MOD(F28-E28,1)*24-N(G28)/60,2))</f>
        <v/>
      </c>
      <c r="I28" s="9">
        <f>Setup!$B$8</f>
        <v/>
      </c>
      <c r="J28" s="9">
        <f>IF(H28="","",ROUND(H28*I28,2))</f>
        <v/>
      </c>
      <c r="K28" s="9" t="n"/>
      <c r="L28" s="9">
        <f>IF(AND(J28="",K28=""),"",N(J28)+N(K28))</f>
        <v/>
      </c>
      <c r="M28" s="3" t="n"/>
      <c r="N28" s="3" t="n"/>
      <c r="O28" s="3" t="n"/>
    </row>
    <row r="29">
      <c r="A29" s="7" t="n"/>
      <c r="B29" s="3" t="n"/>
      <c r="C29" s="3" t="n"/>
      <c r="D29" s="3" t="n"/>
      <c r="E29" s="8" t="n"/>
      <c r="F29" s="8" t="n"/>
      <c r="G29" s="3" t="n"/>
      <c r="H29" s="3">
        <f>IF(OR(E29="",F29=""),"",ROUND(MOD(F29-E29,1)*24-N(G29)/60,2))</f>
        <v/>
      </c>
      <c r="I29" s="9">
        <f>Setup!$B$8</f>
        <v/>
      </c>
      <c r="J29" s="9">
        <f>IF(H29="","",ROUND(H29*I29,2))</f>
        <v/>
      </c>
      <c r="K29" s="9" t="n"/>
      <c r="L29" s="9">
        <f>IF(AND(J29="",K29=""),"",N(J29)+N(K29))</f>
        <v/>
      </c>
      <c r="M29" s="3" t="n"/>
      <c r="N29" s="3" t="n"/>
      <c r="O29" s="3" t="n"/>
    </row>
    <row r="30">
      <c r="A30" s="7" t="n"/>
      <c r="B30" s="3" t="n"/>
      <c r="C30" s="3" t="n"/>
      <c r="D30" s="3" t="n"/>
      <c r="E30" s="8" t="n"/>
      <c r="F30" s="8" t="n"/>
      <c r="G30" s="3" t="n"/>
      <c r="H30" s="3">
        <f>IF(OR(E30="",F30=""),"",ROUND(MOD(F30-E30,1)*24-N(G30)/60,2))</f>
        <v/>
      </c>
      <c r="I30" s="9">
        <f>Setup!$B$8</f>
        <v/>
      </c>
      <c r="J30" s="9">
        <f>IF(H30="","",ROUND(H30*I30,2))</f>
        <v/>
      </c>
      <c r="K30" s="9" t="n"/>
      <c r="L30" s="9">
        <f>IF(AND(J30="",K30=""),"",N(J30)+N(K30))</f>
        <v/>
      </c>
      <c r="M30" s="3" t="n"/>
      <c r="N30" s="3" t="n"/>
      <c r="O30" s="3" t="n"/>
    </row>
    <row r="31">
      <c r="A31" s="7" t="n"/>
      <c r="B31" s="3" t="n"/>
      <c r="C31" s="3" t="n"/>
      <c r="D31" s="3" t="n"/>
      <c r="E31" s="8" t="n"/>
      <c r="F31" s="8" t="n"/>
      <c r="G31" s="3" t="n"/>
      <c r="H31" s="3">
        <f>IF(OR(E31="",F31=""),"",ROUND(MOD(F31-E31,1)*24-N(G31)/60,2))</f>
        <v/>
      </c>
      <c r="I31" s="9">
        <f>Setup!$B$8</f>
        <v/>
      </c>
      <c r="J31" s="9">
        <f>IF(H31="","",ROUND(H31*I31,2))</f>
        <v/>
      </c>
      <c r="K31" s="9" t="n"/>
      <c r="L31" s="9">
        <f>IF(AND(J31="",K31=""),"",N(J31)+N(K31))</f>
        <v/>
      </c>
      <c r="M31" s="3" t="n"/>
      <c r="N31" s="3" t="n"/>
      <c r="O31" s="3" t="n"/>
    </row>
    <row r="32">
      <c r="A32" s="7" t="n"/>
      <c r="B32" s="3" t="n"/>
      <c r="C32" s="3" t="n"/>
      <c r="D32" s="3" t="n"/>
      <c r="E32" s="8" t="n"/>
      <c r="F32" s="8" t="n"/>
      <c r="G32" s="3" t="n"/>
      <c r="H32" s="3">
        <f>IF(OR(E32="",F32=""),"",ROUND(MOD(F32-E32,1)*24-N(G32)/60,2))</f>
        <v/>
      </c>
      <c r="I32" s="9">
        <f>Setup!$B$8</f>
        <v/>
      </c>
      <c r="J32" s="9">
        <f>IF(H32="","",ROUND(H32*I32,2))</f>
        <v/>
      </c>
      <c r="K32" s="9" t="n"/>
      <c r="L32" s="9">
        <f>IF(AND(J32="",K32=""),"",N(J32)+N(K32))</f>
        <v/>
      </c>
      <c r="M32" s="3" t="n"/>
      <c r="N32" s="3" t="n"/>
      <c r="O32" s="3" t="n"/>
    </row>
    <row r="33">
      <c r="A33" s="7" t="n"/>
      <c r="B33" s="3" t="n"/>
      <c r="C33" s="3" t="n"/>
      <c r="D33" s="3" t="n"/>
      <c r="E33" s="8" t="n"/>
      <c r="F33" s="8" t="n"/>
      <c r="G33" s="3" t="n"/>
      <c r="H33" s="3">
        <f>IF(OR(E33="",F33=""),"",ROUND(MOD(F33-E33,1)*24-N(G33)/60,2))</f>
        <v/>
      </c>
      <c r="I33" s="9">
        <f>Setup!$B$8</f>
        <v/>
      </c>
      <c r="J33" s="9">
        <f>IF(H33="","",ROUND(H33*I33,2))</f>
        <v/>
      </c>
      <c r="K33" s="9" t="n"/>
      <c r="L33" s="9">
        <f>IF(AND(J33="",K33=""),"",N(J33)+N(K33))</f>
        <v/>
      </c>
      <c r="M33" s="3" t="n"/>
      <c r="N33" s="3" t="n"/>
      <c r="O33" s="3" t="n"/>
    </row>
    <row r="34">
      <c r="A34" s="7" t="n"/>
      <c r="B34" s="3" t="n"/>
      <c r="C34" s="3" t="n"/>
      <c r="D34" s="3" t="n"/>
      <c r="E34" s="8" t="n"/>
      <c r="F34" s="8" t="n"/>
      <c r="G34" s="3" t="n"/>
      <c r="H34" s="3">
        <f>IF(OR(E34="",F34=""),"",ROUND(MOD(F34-E34,1)*24-N(G34)/60,2))</f>
        <v/>
      </c>
      <c r="I34" s="9">
        <f>Setup!$B$8</f>
        <v/>
      </c>
      <c r="J34" s="9">
        <f>IF(H34="","",ROUND(H34*I34,2))</f>
        <v/>
      </c>
      <c r="K34" s="9" t="n"/>
      <c r="L34" s="9">
        <f>IF(AND(J34="",K34=""),"",N(J34)+N(K34))</f>
        <v/>
      </c>
      <c r="M34" s="3" t="n"/>
      <c r="N34" s="3" t="n"/>
      <c r="O34" s="3" t="n"/>
    </row>
    <row r="35">
      <c r="A35" s="7" t="n"/>
      <c r="B35" s="3" t="n"/>
      <c r="C35" s="3" t="n"/>
      <c r="D35" s="3" t="n"/>
      <c r="E35" s="8" t="n"/>
      <c r="F35" s="8" t="n"/>
      <c r="G35" s="3" t="n"/>
      <c r="H35" s="3">
        <f>IF(OR(E35="",F35=""),"",ROUND(MOD(F35-E35,1)*24-N(G35)/60,2))</f>
        <v/>
      </c>
      <c r="I35" s="9">
        <f>Setup!$B$8</f>
        <v/>
      </c>
      <c r="J35" s="9">
        <f>IF(H35="","",ROUND(H35*I35,2))</f>
        <v/>
      </c>
      <c r="K35" s="9" t="n"/>
      <c r="L35" s="9">
        <f>IF(AND(J35="",K35=""),"",N(J35)+N(K35))</f>
        <v/>
      </c>
      <c r="M35" s="3" t="n"/>
      <c r="N35" s="3" t="n"/>
      <c r="O35" s="3" t="n"/>
    </row>
    <row r="36">
      <c r="A36" s="7" t="n"/>
      <c r="B36" s="3" t="n"/>
      <c r="C36" s="3" t="n"/>
      <c r="D36" s="3" t="n"/>
      <c r="E36" s="8" t="n"/>
      <c r="F36" s="8" t="n"/>
      <c r="G36" s="3" t="n"/>
      <c r="H36" s="3">
        <f>IF(OR(E36="",F36=""),"",ROUND(MOD(F36-E36,1)*24-N(G36)/60,2))</f>
        <v/>
      </c>
      <c r="I36" s="9">
        <f>Setup!$B$8</f>
        <v/>
      </c>
      <c r="J36" s="9">
        <f>IF(H36="","",ROUND(H36*I36,2))</f>
        <v/>
      </c>
      <c r="K36" s="9" t="n"/>
      <c r="L36" s="9">
        <f>IF(AND(J36="",K36=""),"",N(J36)+N(K36))</f>
        <v/>
      </c>
      <c r="M36" s="3" t="n"/>
      <c r="N36" s="3" t="n"/>
      <c r="O36" s="3" t="n"/>
    </row>
    <row r="37">
      <c r="A37" s="7" t="n"/>
      <c r="B37" s="3" t="n"/>
      <c r="C37" s="3" t="n"/>
      <c r="D37" s="3" t="n"/>
      <c r="E37" s="8" t="n"/>
      <c r="F37" s="8" t="n"/>
      <c r="G37" s="3" t="n"/>
      <c r="H37" s="3">
        <f>IF(OR(E37="",F37=""),"",ROUND(MOD(F37-E37,1)*24-N(G37)/60,2))</f>
        <v/>
      </c>
      <c r="I37" s="9">
        <f>Setup!$B$8</f>
        <v/>
      </c>
      <c r="J37" s="9">
        <f>IF(H37="","",ROUND(H37*I37,2))</f>
        <v/>
      </c>
      <c r="K37" s="9" t="n"/>
      <c r="L37" s="9">
        <f>IF(AND(J37="",K37=""),"",N(J37)+N(K37))</f>
        <v/>
      </c>
      <c r="M37" s="3" t="n"/>
      <c r="N37" s="3" t="n"/>
      <c r="O37" s="3" t="n"/>
    </row>
    <row r="38">
      <c r="A38" s="7" t="n"/>
      <c r="B38" s="3" t="n"/>
      <c r="C38" s="3" t="n"/>
      <c r="D38" s="3" t="n"/>
      <c r="E38" s="8" t="n"/>
      <c r="F38" s="8" t="n"/>
      <c r="G38" s="3" t="n"/>
      <c r="H38" s="3">
        <f>IF(OR(E38="",F38=""),"",ROUND(MOD(F38-E38,1)*24-N(G38)/60,2))</f>
        <v/>
      </c>
      <c r="I38" s="9">
        <f>Setup!$B$8</f>
        <v/>
      </c>
      <c r="J38" s="9">
        <f>IF(H38="","",ROUND(H38*I38,2))</f>
        <v/>
      </c>
      <c r="K38" s="9" t="n"/>
      <c r="L38" s="9">
        <f>IF(AND(J38="",K38=""),"",N(J38)+N(K38))</f>
        <v/>
      </c>
      <c r="M38" s="3" t="n"/>
      <c r="N38" s="3" t="n"/>
      <c r="O38" s="3" t="n"/>
    </row>
    <row r="39">
      <c r="A39" s="7" t="n"/>
      <c r="B39" s="3" t="n"/>
      <c r="C39" s="3" t="n"/>
      <c r="D39" s="3" t="n"/>
      <c r="E39" s="8" t="n"/>
      <c r="F39" s="8" t="n"/>
      <c r="G39" s="3" t="n"/>
      <c r="H39" s="3">
        <f>IF(OR(E39="",F39=""),"",ROUND(MOD(F39-E39,1)*24-N(G39)/60,2))</f>
        <v/>
      </c>
      <c r="I39" s="9">
        <f>Setup!$B$8</f>
        <v/>
      </c>
      <c r="J39" s="9">
        <f>IF(H39="","",ROUND(H39*I39,2))</f>
        <v/>
      </c>
      <c r="K39" s="9" t="n"/>
      <c r="L39" s="9">
        <f>IF(AND(J39="",K39=""),"",N(J39)+N(K39))</f>
        <v/>
      </c>
      <c r="M39" s="3" t="n"/>
      <c r="N39" s="3" t="n"/>
      <c r="O39" s="3" t="n"/>
    </row>
    <row r="40">
      <c r="A40" s="7" t="n"/>
      <c r="B40" s="3" t="n"/>
      <c r="C40" s="3" t="n"/>
      <c r="D40" s="3" t="n"/>
      <c r="E40" s="8" t="n"/>
      <c r="F40" s="8" t="n"/>
      <c r="G40" s="3" t="n"/>
      <c r="H40" s="3">
        <f>IF(OR(E40="",F40=""),"",ROUND(MOD(F40-E40,1)*24-N(G40)/60,2))</f>
        <v/>
      </c>
      <c r="I40" s="9">
        <f>Setup!$B$8</f>
        <v/>
      </c>
      <c r="J40" s="9">
        <f>IF(H40="","",ROUND(H40*I40,2))</f>
        <v/>
      </c>
      <c r="K40" s="9" t="n"/>
      <c r="L40" s="9">
        <f>IF(AND(J40="",K40=""),"",N(J40)+N(K40))</f>
        <v/>
      </c>
      <c r="M40" s="3" t="n"/>
      <c r="N40" s="3" t="n"/>
      <c r="O40" s="3" t="n"/>
    </row>
    <row r="41">
      <c r="A41" s="7" t="n"/>
      <c r="B41" s="3" t="n"/>
      <c r="C41" s="3" t="n"/>
      <c r="D41" s="3" t="n"/>
      <c r="E41" s="8" t="n"/>
      <c r="F41" s="8" t="n"/>
      <c r="G41" s="3" t="n"/>
      <c r="H41" s="3">
        <f>IF(OR(E41="",F41=""),"",ROUND(MOD(F41-E41,1)*24-N(G41)/60,2))</f>
        <v/>
      </c>
      <c r="I41" s="9">
        <f>Setup!$B$8</f>
        <v/>
      </c>
      <c r="J41" s="9">
        <f>IF(H41="","",ROUND(H41*I41,2))</f>
        <v/>
      </c>
      <c r="K41" s="9" t="n"/>
      <c r="L41" s="9">
        <f>IF(AND(J41="",K41=""),"",N(J41)+N(K41))</f>
        <v/>
      </c>
      <c r="M41" s="3" t="n"/>
      <c r="N41" s="3" t="n"/>
      <c r="O41" s="3" t="n"/>
    </row>
    <row r="42">
      <c r="A42" s="7" t="n"/>
      <c r="B42" s="3" t="n"/>
      <c r="C42" s="3" t="n"/>
      <c r="D42" s="3" t="n"/>
      <c r="E42" s="8" t="n"/>
      <c r="F42" s="8" t="n"/>
      <c r="G42" s="3" t="n"/>
      <c r="H42" s="3">
        <f>IF(OR(E42="",F42=""),"",ROUND(MOD(F42-E42,1)*24-N(G42)/60,2))</f>
        <v/>
      </c>
      <c r="I42" s="9">
        <f>Setup!$B$8</f>
        <v/>
      </c>
      <c r="J42" s="9">
        <f>IF(H42="","",ROUND(H42*I42,2))</f>
        <v/>
      </c>
      <c r="K42" s="9" t="n"/>
      <c r="L42" s="9">
        <f>IF(AND(J42="",K42=""),"",N(J42)+N(K42))</f>
        <v/>
      </c>
      <c r="M42" s="3" t="n"/>
      <c r="N42" s="3" t="n"/>
      <c r="O42" s="3" t="n"/>
    </row>
    <row r="43">
      <c r="A43" s="7" t="n"/>
      <c r="B43" s="3" t="n"/>
      <c r="C43" s="3" t="n"/>
      <c r="D43" s="3" t="n"/>
      <c r="E43" s="8" t="n"/>
      <c r="F43" s="8" t="n"/>
      <c r="G43" s="3" t="n"/>
      <c r="H43" s="3">
        <f>IF(OR(E43="",F43=""),"",ROUND(MOD(F43-E43,1)*24-N(G43)/60,2))</f>
        <v/>
      </c>
      <c r="I43" s="9">
        <f>Setup!$B$8</f>
        <v/>
      </c>
      <c r="J43" s="9">
        <f>IF(H43="","",ROUND(H43*I43,2))</f>
        <v/>
      </c>
      <c r="K43" s="9" t="n"/>
      <c r="L43" s="9">
        <f>IF(AND(J43="",K43=""),"",N(J43)+N(K43))</f>
        <v/>
      </c>
      <c r="M43" s="3" t="n"/>
      <c r="N43" s="3" t="n"/>
      <c r="O43" s="3" t="n"/>
    </row>
    <row r="44">
      <c r="A44" s="7" t="n"/>
      <c r="B44" s="3" t="n"/>
      <c r="C44" s="3" t="n"/>
      <c r="D44" s="3" t="n"/>
      <c r="E44" s="8" t="n"/>
      <c r="F44" s="8" t="n"/>
      <c r="G44" s="3" t="n"/>
      <c r="H44" s="3">
        <f>IF(OR(E44="",F44=""),"",ROUND(MOD(F44-E44,1)*24-N(G44)/60,2))</f>
        <v/>
      </c>
      <c r="I44" s="9">
        <f>Setup!$B$8</f>
        <v/>
      </c>
      <c r="J44" s="9">
        <f>IF(H44="","",ROUND(H44*I44,2))</f>
        <v/>
      </c>
      <c r="K44" s="9" t="n"/>
      <c r="L44" s="9">
        <f>IF(AND(J44="",K44=""),"",N(J44)+N(K44))</f>
        <v/>
      </c>
      <c r="M44" s="3" t="n"/>
      <c r="N44" s="3" t="n"/>
      <c r="O44" s="3" t="n"/>
    </row>
    <row r="45">
      <c r="A45" s="7" t="n"/>
      <c r="B45" s="3" t="n"/>
      <c r="C45" s="3" t="n"/>
      <c r="D45" s="3" t="n"/>
      <c r="E45" s="8" t="n"/>
      <c r="F45" s="8" t="n"/>
      <c r="G45" s="3" t="n"/>
      <c r="H45" s="3">
        <f>IF(OR(E45="",F45=""),"",ROUND(MOD(F45-E45,1)*24-N(G45)/60,2))</f>
        <v/>
      </c>
      <c r="I45" s="9">
        <f>Setup!$B$8</f>
        <v/>
      </c>
      <c r="J45" s="9">
        <f>IF(H45="","",ROUND(H45*I45,2))</f>
        <v/>
      </c>
      <c r="K45" s="9" t="n"/>
      <c r="L45" s="9">
        <f>IF(AND(J45="",K45=""),"",N(J45)+N(K45))</f>
        <v/>
      </c>
      <c r="M45" s="3" t="n"/>
      <c r="N45" s="3" t="n"/>
      <c r="O45" s="3" t="n"/>
    </row>
    <row r="46">
      <c r="A46" s="7" t="n"/>
      <c r="B46" s="3" t="n"/>
      <c r="C46" s="3" t="n"/>
      <c r="D46" s="3" t="n"/>
      <c r="E46" s="8" t="n"/>
      <c r="F46" s="8" t="n"/>
      <c r="G46" s="3" t="n"/>
      <c r="H46" s="3">
        <f>IF(OR(E46="",F46=""),"",ROUND(MOD(F46-E46,1)*24-N(G46)/60,2))</f>
        <v/>
      </c>
      <c r="I46" s="9">
        <f>Setup!$B$8</f>
        <v/>
      </c>
      <c r="J46" s="9">
        <f>IF(H46="","",ROUND(H46*I46,2))</f>
        <v/>
      </c>
      <c r="K46" s="9" t="n"/>
      <c r="L46" s="9">
        <f>IF(AND(J46="",K46=""),"",N(J46)+N(K46))</f>
        <v/>
      </c>
      <c r="M46" s="3" t="n"/>
      <c r="N46" s="3" t="n"/>
      <c r="O46" s="3" t="n"/>
    </row>
    <row r="47">
      <c r="A47" s="7" t="n"/>
      <c r="B47" s="3" t="n"/>
      <c r="C47" s="3" t="n"/>
      <c r="D47" s="3" t="n"/>
      <c r="E47" s="8" t="n"/>
      <c r="F47" s="8" t="n"/>
      <c r="G47" s="3" t="n"/>
      <c r="H47" s="3">
        <f>IF(OR(E47="",F47=""),"",ROUND(MOD(F47-E47,1)*24-N(G47)/60,2))</f>
        <v/>
      </c>
      <c r="I47" s="9">
        <f>Setup!$B$8</f>
        <v/>
      </c>
      <c r="J47" s="9">
        <f>IF(H47="","",ROUND(H47*I47,2))</f>
        <v/>
      </c>
      <c r="K47" s="9" t="n"/>
      <c r="L47" s="9">
        <f>IF(AND(J47="",K47=""),"",N(J47)+N(K47))</f>
        <v/>
      </c>
      <c r="M47" s="3" t="n"/>
      <c r="N47" s="3" t="n"/>
      <c r="O47" s="3" t="n"/>
    </row>
    <row r="48">
      <c r="A48" s="7" t="n"/>
      <c r="B48" s="3" t="n"/>
      <c r="C48" s="3" t="n"/>
      <c r="D48" s="3" t="n"/>
      <c r="E48" s="8" t="n"/>
      <c r="F48" s="8" t="n"/>
      <c r="G48" s="3" t="n"/>
      <c r="H48" s="3">
        <f>IF(OR(E48="",F48=""),"",ROUND(MOD(F48-E48,1)*24-N(G48)/60,2))</f>
        <v/>
      </c>
      <c r="I48" s="9">
        <f>Setup!$B$8</f>
        <v/>
      </c>
      <c r="J48" s="9">
        <f>IF(H48="","",ROUND(H48*I48,2))</f>
        <v/>
      </c>
      <c r="K48" s="9" t="n"/>
      <c r="L48" s="9">
        <f>IF(AND(J48="",K48=""),"",N(J48)+N(K48))</f>
        <v/>
      </c>
      <c r="M48" s="3" t="n"/>
      <c r="N48" s="3" t="n"/>
      <c r="O48" s="3" t="n"/>
    </row>
    <row r="49">
      <c r="A49" s="7" t="n"/>
      <c r="B49" s="3" t="n"/>
      <c r="C49" s="3" t="n"/>
      <c r="D49" s="3" t="n"/>
      <c r="E49" s="8" t="n"/>
      <c r="F49" s="8" t="n"/>
      <c r="G49" s="3" t="n"/>
      <c r="H49" s="3">
        <f>IF(OR(E49="",F49=""),"",ROUND(MOD(F49-E49,1)*24-N(G49)/60,2))</f>
        <v/>
      </c>
      <c r="I49" s="9">
        <f>Setup!$B$8</f>
        <v/>
      </c>
      <c r="J49" s="9">
        <f>IF(H49="","",ROUND(H49*I49,2))</f>
        <v/>
      </c>
      <c r="K49" s="9" t="n"/>
      <c r="L49" s="9">
        <f>IF(AND(J49="",K49=""),"",N(J49)+N(K49))</f>
        <v/>
      </c>
      <c r="M49" s="3" t="n"/>
      <c r="N49" s="3" t="n"/>
      <c r="O49" s="3" t="n"/>
    </row>
    <row r="50">
      <c r="A50" s="7" t="n"/>
      <c r="B50" s="3" t="n"/>
      <c r="C50" s="3" t="n"/>
      <c r="D50" s="3" t="n"/>
      <c r="E50" s="8" t="n"/>
      <c r="F50" s="8" t="n"/>
      <c r="G50" s="3" t="n"/>
      <c r="H50" s="3">
        <f>IF(OR(E50="",F50=""),"",ROUND(MOD(F50-E50,1)*24-N(G50)/60,2))</f>
        <v/>
      </c>
      <c r="I50" s="9">
        <f>Setup!$B$8</f>
        <v/>
      </c>
      <c r="J50" s="9">
        <f>IF(H50="","",ROUND(H50*I50,2))</f>
        <v/>
      </c>
      <c r="K50" s="9" t="n"/>
      <c r="L50" s="9">
        <f>IF(AND(J50="",K50=""),"",N(J50)+N(K50))</f>
        <v/>
      </c>
      <c r="M50" s="3" t="n"/>
      <c r="N50" s="3" t="n"/>
      <c r="O50" s="3" t="n"/>
    </row>
    <row r="51">
      <c r="A51" s="7" t="n"/>
      <c r="B51" s="3" t="n"/>
      <c r="C51" s="3" t="n"/>
      <c r="D51" s="3" t="n"/>
      <c r="E51" s="8" t="n"/>
      <c r="F51" s="8" t="n"/>
      <c r="G51" s="3" t="n"/>
      <c r="H51" s="3">
        <f>IF(OR(E51="",F51=""),"",ROUND(MOD(F51-E51,1)*24-N(G51)/60,2))</f>
        <v/>
      </c>
      <c r="I51" s="9">
        <f>Setup!$B$8</f>
        <v/>
      </c>
      <c r="J51" s="9">
        <f>IF(H51="","",ROUND(H51*I51,2))</f>
        <v/>
      </c>
      <c r="K51" s="9" t="n"/>
      <c r="L51" s="9">
        <f>IF(AND(J51="",K51=""),"",N(J51)+N(K51))</f>
        <v/>
      </c>
      <c r="M51" s="3" t="n"/>
      <c r="N51" s="3" t="n"/>
      <c r="O51" s="3" t="n"/>
    </row>
    <row r="52">
      <c r="A52" s="7" t="n"/>
      <c r="B52" s="3" t="n"/>
      <c r="C52" s="3" t="n"/>
      <c r="D52" s="3" t="n"/>
      <c r="E52" s="8" t="n"/>
      <c r="F52" s="8" t="n"/>
      <c r="G52" s="3" t="n"/>
      <c r="H52" s="3">
        <f>IF(OR(E52="",F52=""),"",ROUND(MOD(F52-E52,1)*24-N(G52)/60,2))</f>
        <v/>
      </c>
      <c r="I52" s="9">
        <f>Setup!$B$8</f>
        <v/>
      </c>
      <c r="J52" s="9">
        <f>IF(H52="","",ROUND(H52*I52,2))</f>
        <v/>
      </c>
      <c r="K52" s="9" t="n"/>
      <c r="L52" s="9">
        <f>IF(AND(J52="",K52=""),"",N(J52)+N(K52))</f>
        <v/>
      </c>
      <c r="M52" s="3" t="n"/>
      <c r="N52" s="3" t="n"/>
      <c r="O52" s="3" t="n"/>
    </row>
    <row r="53">
      <c r="A53" s="7" t="n"/>
      <c r="B53" s="3" t="n"/>
      <c r="C53" s="3" t="n"/>
      <c r="D53" s="3" t="n"/>
      <c r="E53" s="8" t="n"/>
      <c r="F53" s="8" t="n"/>
      <c r="G53" s="3" t="n"/>
      <c r="H53" s="3">
        <f>IF(OR(E53="",F53=""),"",ROUND(MOD(F53-E53,1)*24-N(G53)/60,2))</f>
        <v/>
      </c>
      <c r="I53" s="9">
        <f>Setup!$B$8</f>
        <v/>
      </c>
      <c r="J53" s="9">
        <f>IF(H53="","",ROUND(H53*I53,2))</f>
        <v/>
      </c>
      <c r="K53" s="9" t="n"/>
      <c r="L53" s="9">
        <f>IF(AND(J53="",K53=""),"",N(J53)+N(K53))</f>
        <v/>
      </c>
      <c r="M53" s="3" t="n"/>
      <c r="N53" s="3" t="n"/>
      <c r="O53" s="3" t="n"/>
    </row>
    <row r="54">
      <c r="A54" s="7" t="n"/>
      <c r="B54" s="3" t="n"/>
      <c r="C54" s="3" t="n"/>
      <c r="D54" s="3" t="n"/>
      <c r="E54" s="8" t="n"/>
      <c r="F54" s="8" t="n"/>
      <c r="G54" s="3" t="n"/>
      <c r="H54" s="3">
        <f>IF(OR(E54="",F54=""),"",ROUND(MOD(F54-E54,1)*24-N(G54)/60,2))</f>
        <v/>
      </c>
      <c r="I54" s="9">
        <f>Setup!$B$8</f>
        <v/>
      </c>
      <c r="J54" s="9">
        <f>IF(H54="","",ROUND(H54*I54,2))</f>
        <v/>
      </c>
      <c r="K54" s="9" t="n"/>
      <c r="L54" s="9">
        <f>IF(AND(J54="",K54=""),"",N(J54)+N(K54))</f>
        <v/>
      </c>
      <c r="M54" s="3" t="n"/>
      <c r="N54" s="3" t="n"/>
      <c r="O54" s="3" t="n"/>
    </row>
    <row r="55">
      <c r="A55" s="7" t="n"/>
      <c r="B55" s="3" t="n"/>
      <c r="C55" s="3" t="n"/>
      <c r="D55" s="3" t="n"/>
      <c r="E55" s="8" t="n"/>
      <c r="F55" s="8" t="n"/>
      <c r="G55" s="3" t="n"/>
      <c r="H55" s="3">
        <f>IF(OR(E55="",F55=""),"",ROUND(MOD(F55-E55,1)*24-N(G55)/60,2))</f>
        <v/>
      </c>
      <c r="I55" s="9">
        <f>Setup!$B$8</f>
        <v/>
      </c>
      <c r="J55" s="9">
        <f>IF(H55="","",ROUND(H55*I55,2))</f>
        <v/>
      </c>
      <c r="K55" s="9" t="n"/>
      <c r="L55" s="9">
        <f>IF(AND(J55="",K55=""),"",N(J55)+N(K55))</f>
        <v/>
      </c>
      <c r="M55" s="3" t="n"/>
      <c r="N55" s="3" t="n"/>
      <c r="O55" s="3" t="n"/>
    </row>
    <row r="56">
      <c r="A56" s="7" t="n"/>
      <c r="B56" s="3" t="n"/>
      <c r="C56" s="3" t="n"/>
      <c r="D56" s="3" t="n"/>
      <c r="E56" s="8" t="n"/>
      <c r="F56" s="8" t="n"/>
      <c r="G56" s="3" t="n"/>
      <c r="H56" s="3">
        <f>IF(OR(E56="",F56=""),"",ROUND(MOD(F56-E56,1)*24-N(G56)/60,2))</f>
        <v/>
      </c>
      <c r="I56" s="9">
        <f>Setup!$B$8</f>
        <v/>
      </c>
      <c r="J56" s="9">
        <f>IF(H56="","",ROUND(H56*I56,2))</f>
        <v/>
      </c>
      <c r="K56" s="9" t="n"/>
      <c r="L56" s="9">
        <f>IF(AND(J56="",K56=""),"",N(J56)+N(K56))</f>
        <v/>
      </c>
      <c r="M56" s="3" t="n"/>
      <c r="N56" s="3" t="n"/>
      <c r="O56" s="3" t="n"/>
    </row>
    <row r="57">
      <c r="A57" s="7" t="n"/>
      <c r="B57" s="3" t="n"/>
      <c r="C57" s="3" t="n"/>
      <c r="D57" s="3" t="n"/>
      <c r="E57" s="8" t="n"/>
      <c r="F57" s="8" t="n"/>
      <c r="G57" s="3" t="n"/>
      <c r="H57" s="3">
        <f>IF(OR(E57="",F57=""),"",ROUND(MOD(F57-E57,1)*24-N(G57)/60,2))</f>
        <v/>
      </c>
      <c r="I57" s="9">
        <f>Setup!$B$8</f>
        <v/>
      </c>
      <c r="J57" s="9">
        <f>IF(H57="","",ROUND(H57*I57,2))</f>
        <v/>
      </c>
      <c r="K57" s="9" t="n"/>
      <c r="L57" s="9">
        <f>IF(AND(J57="",K57=""),"",N(J57)+N(K57))</f>
        <v/>
      </c>
      <c r="M57" s="3" t="n"/>
      <c r="N57" s="3" t="n"/>
      <c r="O57" s="3" t="n"/>
    </row>
    <row r="58">
      <c r="A58" s="7" t="n"/>
      <c r="B58" s="3" t="n"/>
      <c r="C58" s="3" t="n"/>
      <c r="D58" s="3" t="n"/>
      <c r="E58" s="8" t="n"/>
      <c r="F58" s="8" t="n"/>
      <c r="G58" s="3" t="n"/>
      <c r="H58" s="3">
        <f>IF(OR(E58="",F58=""),"",ROUND(MOD(F58-E58,1)*24-N(G58)/60,2))</f>
        <v/>
      </c>
      <c r="I58" s="9">
        <f>Setup!$B$8</f>
        <v/>
      </c>
      <c r="J58" s="9">
        <f>IF(H58="","",ROUND(H58*I58,2))</f>
        <v/>
      </c>
      <c r="K58" s="9" t="n"/>
      <c r="L58" s="9">
        <f>IF(AND(J58="",K58=""),"",N(J58)+N(K58))</f>
        <v/>
      </c>
      <c r="M58" s="3" t="n"/>
      <c r="N58" s="3" t="n"/>
      <c r="O58" s="3" t="n"/>
    </row>
    <row r="59">
      <c r="A59" s="7" t="n"/>
      <c r="B59" s="3" t="n"/>
      <c r="C59" s="3" t="n"/>
      <c r="D59" s="3" t="n"/>
      <c r="E59" s="8" t="n"/>
      <c r="F59" s="8" t="n"/>
      <c r="G59" s="3" t="n"/>
      <c r="H59" s="3">
        <f>IF(OR(E59="",F59=""),"",ROUND(MOD(F59-E59,1)*24-N(G59)/60,2))</f>
        <v/>
      </c>
      <c r="I59" s="9">
        <f>Setup!$B$8</f>
        <v/>
      </c>
      <c r="J59" s="9">
        <f>IF(H59="","",ROUND(H59*I59,2))</f>
        <v/>
      </c>
      <c r="K59" s="9" t="n"/>
      <c r="L59" s="9">
        <f>IF(AND(J59="",K59=""),"",N(J59)+N(K59))</f>
        <v/>
      </c>
      <c r="M59" s="3" t="n"/>
      <c r="N59" s="3" t="n"/>
      <c r="O59" s="3" t="n"/>
    </row>
    <row r="60">
      <c r="A60" s="7" t="n"/>
      <c r="B60" s="3" t="n"/>
      <c r="C60" s="3" t="n"/>
      <c r="D60" s="3" t="n"/>
      <c r="E60" s="8" t="n"/>
      <c r="F60" s="8" t="n"/>
      <c r="G60" s="3" t="n"/>
      <c r="H60" s="3">
        <f>IF(OR(E60="",F60=""),"",ROUND(MOD(F60-E60,1)*24-N(G60)/60,2))</f>
        <v/>
      </c>
      <c r="I60" s="9">
        <f>Setup!$B$8</f>
        <v/>
      </c>
      <c r="J60" s="9">
        <f>IF(H60="","",ROUND(H60*I60,2))</f>
        <v/>
      </c>
      <c r="K60" s="9" t="n"/>
      <c r="L60" s="9">
        <f>IF(AND(J60="",K60=""),"",N(J60)+N(K60))</f>
        <v/>
      </c>
      <c r="M60" s="3" t="n"/>
      <c r="N60" s="3" t="n"/>
      <c r="O60" s="3" t="n"/>
    </row>
    <row r="61">
      <c r="A61" s="7" t="n"/>
      <c r="B61" s="3" t="n"/>
      <c r="C61" s="3" t="n"/>
      <c r="D61" s="3" t="n"/>
      <c r="E61" s="8" t="n"/>
      <c r="F61" s="8" t="n"/>
      <c r="G61" s="3" t="n"/>
      <c r="H61" s="3">
        <f>IF(OR(E61="",F61=""),"",ROUND(MOD(F61-E61,1)*24-N(G61)/60,2))</f>
        <v/>
      </c>
      <c r="I61" s="9">
        <f>Setup!$B$8</f>
        <v/>
      </c>
      <c r="J61" s="9">
        <f>IF(H61="","",ROUND(H61*I61,2))</f>
        <v/>
      </c>
      <c r="K61" s="9" t="n"/>
      <c r="L61" s="9">
        <f>IF(AND(J61="",K61=""),"",N(J61)+N(K61))</f>
        <v/>
      </c>
      <c r="M61" s="3" t="n"/>
      <c r="N61" s="3" t="n"/>
      <c r="O61" s="3" t="n"/>
    </row>
    <row r="62">
      <c r="A62" s="7" t="n"/>
      <c r="B62" s="3" t="n"/>
      <c r="C62" s="3" t="n"/>
      <c r="D62" s="3" t="n"/>
      <c r="E62" s="8" t="n"/>
      <c r="F62" s="8" t="n"/>
      <c r="G62" s="3" t="n"/>
      <c r="H62" s="3">
        <f>IF(OR(E62="",F62=""),"",ROUND(MOD(F62-E62,1)*24-N(G62)/60,2))</f>
        <v/>
      </c>
      <c r="I62" s="9">
        <f>Setup!$B$8</f>
        <v/>
      </c>
      <c r="J62" s="9">
        <f>IF(H62="","",ROUND(H62*I62,2))</f>
        <v/>
      </c>
      <c r="K62" s="9" t="n"/>
      <c r="L62" s="9">
        <f>IF(AND(J62="",K62=""),"",N(J62)+N(K62))</f>
        <v/>
      </c>
      <c r="M62" s="3" t="n"/>
      <c r="N62" s="3" t="n"/>
      <c r="O62" s="3" t="n"/>
    </row>
    <row r="63">
      <c r="A63" s="7" t="n"/>
      <c r="B63" s="3" t="n"/>
      <c r="C63" s="3" t="n"/>
      <c r="D63" s="3" t="n"/>
      <c r="E63" s="8" t="n"/>
      <c r="F63" s="8" t="n"/>
      <c r="G63" s="3" t="n"/>
      <c r="H63" s="3">
        <f>IF(OR(E63="",F63=""),"",ROUND(MOD(F63-E63,1)*24-N(G63)/60,2))</f>
        <v/>
      </c>
      <c r="I63" s="9">
        <f>Setup!$B$8</f>
        <v/>
      </c>
      <c r="J63" s="9">
        <f>IF(H63="","",ROUND(H63*I63,2))</f>
        <v/>
      </c>
      <c r="K63" s="9" t="n"/>
      <c r="L63" s="9">
        <f>IF(AND(J63="",K63=""),"",N(J63)+N(K63))</f>
        <v/>
      </c>
      <c r="M63" s="3" t="n"/>
      <c r="N63" s="3" t="n"/>
      <c r="O63" s="3" t="n"/>
    </row>
    <row r="64">
      <c r="A64" s="7" t="n"/>
      <c r="B64" s="3" t="n"/>
      <c r="C64" s="3" t="n"/>
      <c r="D64" s="3" t="n"/>
      <c r="E64" s="8" t="n"/>
      <c r="F64" s="8" t="n"/>
      <c r="G64" s="3" t="n"/>
      <c r="H64" s="3">
        <f>IF(OR(E64="",F64=""),"",ROUND(MOD(F64-E64,1)*24-N(G64)/60,2))</f>
        <v/>
      </c>
      <c r="I64" s="9">
        <f>Setup!$B$8</f>
        <v/>
      </c>
      <c r="J64" s="9">
        <f>IF(H64="","",ROUND(H64*I64,2))</f>
        <v/>
      </c>
      <c r="K64" s="9" t="n"/>
      <c r="L64" s="9">
        <f>IF(AND(J64="",K64=""),"",N(J64)+N(K64))</f>
        <v/>
      </c>
      <c r="M64" s="3" t="n"/>
      <c r="N64" s="3" t="n"/>
      <c r="O64" s="3" t="n"/>
    </row>
    <row r="65">
      <c r="A65" s="7" t="n"/>
      <c r="B65" s="3" t="n"/>
      <c r="C65" s="3" t="n"/>
      <c r="D65" s="3" t="n"/>
      <c r="E65" s="8" t="n"/>
      <c r="F65" s="8" t="n"/>
      <c r="G65" s="3" t="n"/>
      <c r="H65" s="3">
        <f>IF(OR(E65="",F65=""),"",ROUND(MOD(F65-E65,1)*24-N(G65)/60,2))</f>
        <v/>
      </c>
      <c r="I65" s="9">
        <f>Setup!$B$8</f>
        <v/>
      </c>
      <c r="J65" s="9">
        <f>IF(H65="","",ROUND(H65*I65,2))</f>
        <v/>
      </c>
      <c r="K65" s="9" t="n"/>
      <c r="L65" s="9">
        <f>IF(AND(J65="",K65=""),"",N(J65)+N(K65))</f>
        <v/>
      </c>
      <c r="M65" s="3" t="n"/>
      <c r="N65" s="3" t="n"/>
      <c r="O65" s="3" t="n"/>
    </row>
    <row r="66">
      <c r="A66" s="7" t="n"/>
      <c r="B66" s="3" t="n"/>
      <c r="C66" s="3" t="n"/>
      <c r="D66" s="3" t="n"/>
      <c r="E66" s="8" t="n"/>
      <c r="F66" s="8" t="n"/>
      <c r="G66" s="3" t="n"/>
      <c r="H66" s="3">
        <f>IF(OR(E66="",F66=""),"",ROUND(MOD(F66-E66,1)*24-N(G66)/60,2))</f>
        <v/>
      </c>
      <c r="I66" s="9">
        <f>Setup!$B$8</f>
        <v/>
      </c>
      <c r="J66" s="9">
        <f>IF(H66="","",ROUND(H66*I66,2))</f>
        <v/>
      </c>
      <c r="K66" s="9" t="n"/>
      <c r="L66" s="9">
        <f>IF(AND(J66="",K66=""),"",N(J66)+N(K66))</f>
        <v/>
      </c>
      <c r="M66" s="3" t="n"/>
      <c r="N66" s="3" t="n"/>
      <c r="O66" s="3" t="n"/>
    </row>
    <row r="67">
      <c r="A67" s="7" t="n"/>
      <c r="B67" s="3" t="n"/>
      <c r="C67" s="3" t="n"/>
      <c r="D67" s="3" t="n"/>
      <c r="E67" s="8" t="n"/>
      <c r="F67" s="8" t="n"/>
      <c r="G67" s="3" t="n"/>
      <c r="H67" s="3">
        <f>IF(OR(E67="",F67=""),"",ROUND(MOD(F67-E67,1)*24-N(G67)/60,2))</f>
        <v/>
      </c>
      <c r="I67" s="9">
        <f>Setup!$B$8</f>
        <v/>
      </c>
      <c r="J67" s="9">
        <f>IF(H67="","",ROUND(H67*I67,2))</f>
        <v/>
      </c>
      <c r="K67" s="9" t="n"/>
      <c r="L67" s="9">
        <f>IF(AND(J67="",K67=""),"",N(J67)+N(K67))</f>
        <v/>
      </c>
      <c r="M67" s="3" t="n"/>
      <c r="N67" s="3" t="n"/>
      <c r="O67" s="3" t="n"/>
    </row>
    <row r="68">
      <c r="A68" s="7" t="n"/>
      <c r="B68" s="3" t="n"/>
      <c r="C68" s="3" t="n"/>
      <c r="D68" s="3" t="n"/>
      <c r="E68" s="8" t="n"/>
      <c r="F68" s="8" t="n"/>
      <c r="G68" s="3" t="n"/>
      <c r="H68" s="3">
        <f>IF(OR(E68="",F68=""),"",ROUND(MOD(F68-E68,1)*24-N(G68)/60,2))</f>
        <v/>
      </c>
      <c r="I68" s="9">
        <f>Setup!$B$8</f>
        <v/>
      </c>
      <c r="J68" s="9">
        <f>IF(H68="","",ROUND(H68*I68,2))</f>
        <v/>
      </c>
      <c r="K68" s="9" t="n"/>
      <c r="L68" s="9">
        <f>IF(AND(J68="",K68=""),"",N(J68)+N(K68))</f>
        <v/>
      </c>
      <c r="M68" s="3" t="n"/>
      <c r="N68" s="3" t="n"/>
      <c r="O68" s="3" t="n"/>
    </row>
    <row r="69">
      <c r="A69" s="7" t="n"/>
      <c r="B69" s="3" t="n"/>
      <c r="C69" s="3" t="n"/>
      <c r="D69" s="3" t="n"/>
      <c r="E69" s="8" t="n"/>
      <c r="F69" s="8" t="n"/>
      <c r="G69" s="3" t="n"/>
      <c r="H69" s="3">
        <f>IF(OR(E69="",F69=""),"",ROUND(MOD(F69-E69,1)*24-N(G69)/60,2))</f>
        <v/>
      </c>
      <c r="I69" s="9">
        <f>Setup!$B$8</f>
        <v/>
      </c>
      <c r="J69" s="9">
        <f>IF(H69="","",ROUND(H69*I69,2))</f>
        <v/>
      </c>
      <c r="K69" s="9" t="n"/>
      <c r="L69" s="9">
        <f>IF(AND(J69="",K69=""),"",N(J69)+N(K69))</f>
        <v/>
      </c>
      <c r="M69" s="3" t="n"/>
      <c r="N69" s="3" t="n"/>
      <c r="O69" s="3" t="n"/>
    </row>
    <row r="70">
      <c r="A70" s="7" t="n"/>
      <c r="B70" s="3" t="n"/>
      <c r="C70" s="3" t="n"/>
      <c r="D70" s="3" t="n"/>
      <c r="E70" s="8" t="n"/>
      <c r="F70" s="8" t="n"/>
      <c r="G70" s="3" t="n"/>
      <c r="H70" s="3">
        <f>IF(OR(E70="",F70=""),"",ROUND(MOD(F70-E70,1)*24-N(G70)/60,2))</f>
        <v/>
      </c>
      <c r="I70" s="9">
        <f>Setup!$B$8</f>
        <v/>
      </c>
      <c r="J70" s="9">
        <f>IF(H70="","",ROUND(H70*I70,2))</f>
        <v/>
      </c>
      <c r="K70" s="9" t="n"/>
      <c r="L70" s="9">
        <f>IF(AND(J70="",K70=""),"",N(J70)+N(K70))</f>
        <v/>
      </c>
      <c r="M70" s="3" t="n"/>
      <c r="N70" s="3" t="n"/>
      <c r="O70" s="3" t="n"/>
    </row>
    <row r="71">
      <c r="A71" s="7" t="n"/>
      <c r="B71" s="3" t="n"/>
      <c r="C71" s="3" t="n"/>
      <c r="D71" s="3" t="n"/>
      <c r="E71" s="8" t="n"/>
      <c r="F71" s="8" t="n"/>
      <c r="G71" s="3" t="n"/>
      <c r="H71" s="3">
        <f>IF(OR(E71="",F71=""),"",ROUND(MOD(F71-E71,1)*24-N(G71)/60,2))</f>
        <v/>
      </c>
      <c r="I71" s="9">
        <f>Setup!$B$8</f>
        <v/>
      </c>
      <c r="J71" s="9">
        <f>IF(H71="","",ROUND(H71*I71,2))</f>
        <v/>
      </c>
      <c r="K71" s="9" t="n"/>
      <c r="L71" s="9">
        <f>IF(AND(J71="",K71=""),"",N(J71)+N(K71))</f>
        <v/>
      </c>
      <c r="M71" s="3" t="n"/>
      <c r="N71" s="3" t="n"/>
      <c r="O71" s="3" t="n"/>
    </row>
    <row r="72">
      <c r="A72" s="7" t="n"/>
      <c r="B72" s="3" t="n"/>
      <c r="C72" s="3" t="n"/>
      <c r="D72" s="3" t="n"/>
      <c r="E72" s="8" t="n"/>
      <c r="F72" s="8" t="n"/>
      <c r="G72" s="3" t="n"/>
      <c r="H72" s="3">
        <f>IF(OR(E72="",F72=""),"",ROUND(MOD(F72-E72,1)*24-N(G72)/60,2))</f>
        <v/>
      </c>
      <c r="I72" s="9">
        <f>Setup!$B$8</f>
        <v/>
      </c>
      <c r="J72" s="9">
        <f>IF(H72="","",ROUND(H72*I72,2))</f>
        <v/>
      </c>
      <c r="K72" s="9" t="n"/>
      <c r="L72" s="9">
        <f>IF(AND(J72="",K72=""),"",N(J72)+N(K72))</f>
        <v/>
      </c>
      <c r="M72" s="3" t="n"/>
      <c r="N72" s="3" t="n"/>
      <c r="O72" s="3" t="n"/>
    </row>
    <row r="73">
      <c r="A73" s="7" t="n"/>
      <c r="B73" s="3" t="n"/>
      <c r="C73" s="3" t="n"/>
      <c r="D73" s="3" t="n"/>
      <c r="E73" s="8" t="n"/>
      <c r="F73" s="8" t="n"/>
      <c r="G73" s="3" t="n"/>
      <c r="H73" s="3">
        <f>IF(OR(E73="",F73=""),"",ROUND(MOD(F73-E73,1)*24-N(G73)/60,2))</f>
        <v/>
      </c>
      <c r="I73" s="9">
        <f>Setup!$B$8</f>
        <v/>
      </c>
      <c r="J73" s="9">
        <f>IF(H73="","",ROUND(H73*I73,2))</f>
        <v/>
      </c>
      <c r="K73" s="9" t="n"/>
      <c r="L73" s="9">
        <f>IF(AND(J73="",K73=""),"",N(J73)+N(K73))</f>
        <v/>
      </c>
      <c r="M73" s="3" t="n"/>
      <c r="N73" s="3" t="n"/>
      <c r="O73" s="3" t="n"/>
    </row>
    <row r="74">
      <c r="A74" s="7" t="n"/>
      <c r="B74" s="3" t="n"/>
      <c r="C74" s="3" t="n"/>
      <c r="D74" s="3" t="n"/>
      <c r="E74" s="8" t="n"/>
      <c r="F74" s="8" t="n"/>
      <c r="G74" s="3" t="n"/>
      <c r="H74" s="3">
        <f>IF(OR(E74="",F74=""),"",ROUND(MOD(F74-E74,1)*24-N(G74)/60,2))</f>
        <v/>
      </c>
      <c r="I74" s="9">
        <f>Setup!$B$8</f>
        <v/>
      </c>
      <c r="J74" s="9">
        <f>IF(H74="","",ROUND(H74*I74,2))</f>
        <v/>
      </c>
      <c r="K74" s="9" t="n"/>
      <c r="L74" s="9">
        <f>IF(AND(J74="",K74=""),"",N(J74)+N(K74))</f>
        <v/>
      </c>
      <c r="M74" s="3" t="n"/>
      <c r="N74" s="3" t="n"/>
      <c r="O74" s="3" t="n"/>
    </row>
    <row r="75">
      <c r="A75" s="7" t="n"/>
      <c r="B75" s="3" t="n"/>
      <c r="C75" s="3" t="n"/>
      <c r="D75" s="3" t="n"/>
      <c r="E75" s="8" t="n"/>
      <c r="F75" s="8" t="n"/>
      <c r="G75" s="3" t="n"/>
      <c r="H75" s="3">
        <f>IF(OR(E75="",F75=""),"",ROUND(MOD(F75-E75,1)*24-N(G75)/60,2))</f>
        <v/>
      </c>
      <c r="I75" s="9">
        <f>Setup!$B$8</f>
        <v/>
      </c>
      <c r="J75" s="9">
        <f>IF(H75="","",ROUND(H75*I75,2))</f>
        <v/>
      </c>
      <c r="K75" s="9" t="n"/>
      <c r="L75" s="9">
        <f>IF(AND(J75="",K75=""),"",N(J75)+N(K75))</f>
        <v/>
      </c>
      <c r="M75" s="3" t="n"/>
      <c r="N75" s="3" t="n"/>
      <c r="O75" s="3" t="n"/>
    </row>
    <row r="76">
      <c r="A76" s="7" t="n"/>
      <c r="B76" s="3" t="n"/>
      <c r="C76" s="3" t="n"/>
      <c r="D76" s="3" t="n"/>
      <c r="E76" s="8" t="n"/>
      <c r="F76" s="8" t="n"/>
      <c r="G76" s="3" t="n"/>
      <c r="H76" s="3">
        <f>IF(OR(E76="",F76=""),"",ROUND(MOD(F76-E76,1)*24-N(G76)/60,2))</f>
        <v/>
      </c>
      <c r="I76" s="9">
        <f>Setup!$B$8</f>
        <v/>
      </c>
      <c r="J76" s="9">
        <f>IF(H76="","",ROUND(H76*I76,2))</f>
        <v/>
      </c>
      <c r="K76" s="9" t="n"/>
      <c r="L76" s="9">
        <f>IF(AND(J76="",K76=""),"",N(J76)+N(K76))</f>
        <v/>
      </c>
      <c r="M76" s="3" t="n"/>
      <c r="N76" s="3" t="n"/>
      <c r="O76" s="3" t="n"/>
    </row>
    <row r="77">
      <c r="A77" s="7" t="n"/>
      <c r="B77" s="3" t="n"/>
      <c r="C77" s="3" t="n"/>
      <c r="D77" s="3" t="n"/>
      <c r="E77" s="8" t="n"/>
      <c r="F77" s="8" t="n"/>
      <c r="G77" s="3" t="n"/>
      <c r="H77" s="3">
        <f>IF(OR(E77="",F77=""),"",ROUND(MOD(F77-E77,1)*24-N(G77)/60,2))</f>
        <v/>
      </c>
      <c r="I77" s="9">
        <f>Setup!$B$8</f>
        <v/>
      </c>
      <c r="J77" s="9">
        <f>IF(H77="","",ROUND(H77*I77,2))</f>
        <v/>
      </c>
      <c r="K77" s="9" t="n"/>
      <c r="L77" s="9">
        <f>IF(AND(J77="",K77=""),"",N(J77)+N(K77))</f>
        <v/>
      </c>
      <c r="M77" s="3" t="n"/>
      <c r="N77" s="3" t="n"/>
      <c r="O77" s="3" t="n"/>
    </row>
    <row r="78">
      <c r="A78" s="7" t="n"/>
      <c r="B78" s="3" t="n"/>
      <c r="C78" s="3" t="n"/>
      <c r="D78" s="3" t="n"/>
      <c r="E78" s="8" t="n"/>
      <c r="F78" s="8" t="n"/>
      <c r="G78" s="3" t="n"/>
      <c r="H78" s="3">
        <f>IF(OR(E78="",F78=""),"",ROUND(MOD(F78-E78,1)*24-N(G78)/60,2))</f>
        <v/>
      </c>
      <c r="I78" s="9">
        <f>Setup!$B$8</f>
        <v/>
      </c>
      <c r="J78" s="9">
        <f>IF(H78="","",ROUND(H78*I78,2))</f>
        <v/>
      </c>
      <c r="K78" s="9" t="n"/>
      <c r="L78" s="9">
        <f>IF(AND(J78="",K78=""),"",N(J78)+N(K78))</f>
        <v/>
      </c>
      <c r="M78" s="3" t="n"/>
      <c r="N78" s="3" t="n"/>
      <c r="O78" s="3" t="n"/>
    </row>
    <row r="79">
      <c r="A79" s="7" t="n"/>
      <c r="B79" s="3" t="n"/>
      <c r="C79" s="3" t="n"/>
      <c r="D79" s="3" t="n"/>
      <c r="E79" s="8" t="n"/>
      <c r="F79" s="8" t="n"/>
      <c r="G79" s="3" t="n"/>
      <c r="H79" s="3">
        <f>IF(OR(E79="",F79=""),"",ROUND(MOD(F79-E79,1)*24-N(G79)/60,2))</f>
        <v/>
      </c>
      <c r="I79" s="9">
        <f>Setup!$B$8</f>
        <v/>
      </c>
      <c r="J79" s="9">
        <f>IF(H79="","",ROUND(H79*I79,2))</f>
        <v/>
      </c>
      <c r="K79" s="9" t="n"/>
      <c r="L79" s="9">
        <f>IF(AND(J79="",K79=""),"",N(J79)+N(K79))</f>
        <v/>
      </c>
      <c r="M79" s="3" t="n"/>
      <c r="N79" s="3" t="n"/>
      <c r="O79" s="3" t="n"/>
    </row>
    <row r="80">
      <c r="A80" s="7" t="n"/>
      <c r="B80" s="3" t="n"/>
      <c r="C80" s="3" t="n"/>
      <c r="D80" s="3" t="n"/>
      <c r="E80" s="8" t="n"/>
      <c r="F80" s="8" t="n"/>
      <c r="G80" s="3" t="n"/>
      <c r="H80" s="3">
        <f>IF(OR(E80="",F80=""),"",ROUND(MOD(F80-E80,1)*24-N(G80)/60,2))</f>
        <v/>
      </c>
      <c r="I80" s="9">
        <f>Setup!$B$8</f>
        <v/>
      </c>
      <c r="J80" s="9">
        <f>IF(H80="","",ROUND(H80*I80,2))</f>
        <v/>
      </c>
      <c r="K80" s="9" t="n"/>
      <c r="L80" s="9">
        <f>IF(AND(J80="",K80=""),"",N(J80)+N(K80))</f>
        <v/>
      </c>
      <c r="M80" s="3" t="n"/>
      <c r="N80" s="3" t="n"/>
      <c r="O80" s="3" t="n"/>
    </row>
    <row r="81">
      <c r="A81" s="7" t="n"/>
      <c r="B81" s="3" t="n"/>
      <c r="C81" s="3" t="n"/>
      <c r="D81" s="3" t="n"/>
      <c r="E81" s="8" t="n"/>
      <c r="F81" s="8" t="n"/>
      <c r="G81" s="3" t="n"/>
      <c r="H81" s="3">
        <f>IF(OR(E81="",F81=""),"",ROUND(MOD(F81-E81,1)*24-N(G81)/60,2))</f>
        <v/>
      </c>
      <c r="I81" s="9">
        <f>Setup!$B$8</f>
        <v/>
      </c>
      <c r="J81" s="9">
        <f>IF(H81="","",ROUND(H81*I81,2))</f>
        <v/>
      </c>
      <c r="K81" s="9" t="n"/>
      <c r="L81" s="9">
        <f>IF(AND(J81="",K81=""),"",N(J81)+N(K81))</f>
        <v/>
      </c>
      <c r="M81" s="3" t="n"/>
      <c r="N81" s="3" t="n"/>
      <c r="O81" s="3" t="n"/>
    </row>
    <row r="82">
      <c r="A82" s="7" t="n"/>
      <c r="B82" s="3" t="n"/>
      <c r="C82" s="3" t="n"/>
      <c r="D82" s="3" t="n"/>
      <c r="E82" s="8" t="n"/>
      <c r="F82" s="8" t="n"/>
      <c r="G82" s="3" t="n"/>
      <c r="H82" s="3">
        <f>IF(OR(E82="",F82=""),"",ROUND(MOD(F82-E82,1)*24-N(G82)/60,2))</f>
        <v/>
      </c>
      <c r="I82" s="9">
        <f>Setup!$B$8</f>
        <v/>
      </c>
      <c r="J82" s="9">
        <f>IF(H82="","",ROUND(H82*I82,2))</f>
        <v/>
      </c>
      <c r="K82" s="9" t="n"/>
      <c r="L82" s="9">
        <f>IF(AND(J82="",K82=""),"",N(J82)+N(K82))</f>
        <v/>
      </c>
      <c r="M82" s="3" t="n"/>
      <c r="N82" s="3" t="n"/>
      <c r="O82" s="3" t="n"/>
    </row>
    <row r="83">
      <c r="A83" s="7" t="n"/>
      <c r="B83" s="3" t="n"/>
      <c r="C83" s="3" t="n"/>
      <c r="D83" s="3" t="n"/>
      <c r="E83" s="8" t="n"/>
      <c r="F83" s="8" t="n"/>
      <c r="G83" s="3" t="n"/>
      <c r="H83" s="3">
        <f>IF(OR(E83="",F83=""),"",ROUND(MOD(F83-E83,1)*24-N(G83)/60,2))</f>
        <v/>
      </c>
      <c r="I83" s="9">
        <f>Setup!$B$8</f>
        <v/>
      </c>
      <c r="J83" s="9">
        <f>IF(H83="","",ROUND(H83*I83,2))</f>
        <v/>
      </c>
      <c r="K83" s="9" t="n"/>
      <c r="L83" s="9">
        <f>IF(AND(J83="",K83=""),"",N(J83)+N(K83))</f>
        <v/>
      </c>
      <c r="M83" s="3" t="n"/>
      <c r="N83" s="3" t="n"/>
      <c r="O83" s="3" t="n"/>
    </row>
    <row r="84">
      <c r="A84" s="7" t="n"/>
      <c r="B84" s="3" t="n"/>
      <c r="C84" s="3" t="n"/>
      <c r="D84" s="3" t="n"/>
      <c r="E84" s="8" t="n"/>
      <c r="F84" s="8" t="n"/>
      <c r="G84" s="3" t="n"/>
      <c r="H84" s="3">
        <f>IF(OR(E84="",F84=""),"",ROUND(MOD(F84-E84,1)*24-N(G84)/60,2))</f>
        <v/>
      </c>
      <c r="I84" s="9">
        <f>Setup!$B$8</f>
        <v/>
      </c>
      <c r="J84" s="9">
        <f>IF(H84="","",ROUND(H84*I84,2))</f>
        <v/>
      </c>
      <c r="K84" s="9" t="n"/>
      <c r="L84" s="9">
        <f>IF(AND(J84="",K84=""),"",N(J84)+N(K84))</f>
        <v/>
      </c>
      <c r="M84" s="3" t="n"/>
      <c r="N84" s="3" t="n"/>
      <c r="O84" s="3" t="n"/>
    </row>
    <row r="85">
      <c r="A85" s="7" t="n"/>
      <c r="B85" s="3" t="n"/>
      <c r="C85" s="3" t="n"/>
      <c r="D85" s="3" t="n"/>
      <c r="E85" s="8" t="n"/>
      <c r="F85" s="8" t="n"/>
      <c r="G85" s="3" t="n"/>
      <c r="H85" s="3">
        <f>IF(OR(E85="",F85=""),"",ROUND(MOD(F85-E85,1)*24-N(G85)/60,2))</f>
        <v/>
      </c>
      <c r="I85" s="9">
        <f>Setup!$B$8</f>
        <v/>
      </c>
      <c r="J85" s="9">
        <f>IF(H85="","",ROUND(H85*I85,2))</f>
        <v/>
      </c>
      <c r="K85" s="9" t="n"/>
      <c r="L85" s="9">
        <f>IF(AND(J85="",K85=""),"",N(J85)+N(K85))</f>
        <v/>
      </c>
      <c r="M85" s="3" t="n"/>
      <c r="N85" s="3" t="n"/>
      <c r="O85" s="3" t="n"/>
    </row>
    <row r="86">
      <c r="A86" s="7" t="n"/>
      <c r="B86" s="3" t="n"/>
      <c r="C86" s="3" t="n"/>
      <c r="D86" s="3" t="n"/>
      <c r="E86" s="8" t="n"/>
      <c r="F86" s="8" t="n"/>
      <c r="G86" s="3" t="n"/>
      <c r="H86" s="3">
        <f>IF(OR(E86="",F86=""),"",ROUND(MOD(F86-E86,1)*24-N(G86)/60,2))</f>
        <v/>
      </c>
      <c r="I86" s="9">
        <f>Setup!$B$8</f>
        <v/>
      </c>
      <c r="J86" s="9">
        <f>IF(H86="","",ROUND(H86*I86,2))</f>
        <v/>
      </c>
      <c r="K86" s="9" t="n"/>
      <c r="L86" s="9">
        <f>IF(AND(J86="",K86=""),"",N(J86)+N(K86))</f>
        <v/>
      </c>
      <c r="M86" s="3" t="n"/>
      <c r="N86" s="3" t="n"/>
      <c r="O86" s="3" t="n"/>
    </row>
    <row r="87">
      <c r="A87" s="7" t="n"/>
      <c r="B87" s="3" t="n"/>
      <c r="C87" s="3" t="n"/>
      <c r="D87" s="3" t="n"/>
      <c r="E87" s="8" t="n"/>
      <c r="F87" s="8" t="n"/>
      <c r="G87" s="3" t="n"/>
      <c r="H87" s="3">
        <f>IF(OR(E87="",F87=""),"",ROUND(MOD(F87-E87,1)*24-N(G87)/60,2))</f>
        <v/>
      </c>
      <c r="I87" s="9">
        <f>Setup!$B$8</f>
        <v/>
      </c>
      <c r="J87" s="9">
        <f>IF(H87="","",ROUND(H87*I87,2))</f>
        <v/>
      </c>
      <c r="K87" s="9" t="n"/>
      <c r="L87" s="9">
        <f>IF(AND(J87="",K87=""),"",N(J87)+N(K87))</f>
        <v/>
      </c>
      <c r="M87" s="3" t="n"/>
      <c r="N87" s="3" t="n"/>
      <c r="O87" s="3" t="n"/>
    </row>
    <row r="88">
      <c r="A88" s="7" t="n"/>
      <c r="B88" s="3" t="n"/>
      <c r="C88" s="3" t="n"/>
      <c r="D88" s="3" t="n"/>
      <c r="E88" s="8" t="n"/>
      <c r="F88" s="8" t="n"/>
      <c r="G88" s="3" t="n"/>
      <c r="H88" s="3">
        <f>IF(OR(E88="",F88=""),"",ROUND(MOD(F88-E88,1)*24-N(G88)/60,2))</f>
        <v/>
      </c>
      <c r="I88" s="9">
        <f>Setup!$B$8</f>
        <v/>
      </c>
      <c r="J88" s="9">
        <f>IF(H88="","",ROUND(H88*I88,2))</f>
        <v/>
      </c>
      <c r="K88" s="9" t="n"/>
      <c r="L88" s="9">
        <f>IF(AND(J88="",K88=""),"",N(J88)+N(K88))</f>
        <v/>
      </c>
      <c r="M88" s="3" t="n"/>
      <c r="N88" s="3" t="n"/>
      <c r="O88" s="3" t="n"/>
    </row>
    <row r="89">
      <c r="A89" s="7" t="n"/>
      <c r="B89" s="3" t="n"/>
      <c r="C89" s="3" t="n"/>
      <c r="D89" s="3" t="n"/>
      <c r="E89" s="8" t="n"/>
      <c r="F89" s="8" t="n"/>
      <c r="G89" s="3" t="n"/>
      <c r="H89" s="3">
        <f>IF(OR(E89="",F89=""),"",ROUND(MOD(F89-E89,1)*24-N(G89)/60,2))</f>
        <v/>
      </c>
      <c r="I89" s="9">
        <f>Setup!$B$8</f>
        <v/>
      </c>
      <c r="J89" s="9">
        <f>IF(H89="","",ROUND(H89*I89,2))</f>
        <v/>
      </c>
      <c r="K89" s="9" t="n"/>
      <c r="L89" s="9">
        <f>IF(AND(J89="",K89=""),"",N(J89)+N(K89))</f>
        <v/>
      </c>
      <c r="M89" s="3" t="n"/>
      <c r="N89" s="3" t="n"/>
      <c r="O89" s="3" t="n"/>
    </row>
    <row r="90">
      <c r="A90" s="7" t="n"/>
      <c r="B90" s="3" t="n"/>
      <c r="C90" s="3" t="n"/>
      <c r="D90" s="3" t="n"/>
      <c r="E90" s="8" t="n"/>
      <c r="F90" s="8" t="n"/>
      <c r="G90" s="3" t="n"/>
      <c r="H90" s="3">
        <f>IF(OR(E90="",F90=""),"",ROUND(MOD(F90-E90,1)*24-N(G90)/60,2))</f>
        <v/>
      </c>
      <c r="I90" s="9">
        <f>Setup!$B$8</f>
        <v/>
      </c>
      <c r="J90" s="9">
        <f>IF(H90="","",ROUND(H90*I90,2))</f>
        <v/>
      </c>
      <c r="K90" s="9" t="n"/>
      <c r="L90" s="9">
        <f>IF(AND(J90="",K90=""),"",N(J90)+N(K90))</f>
        <v/>
      </c>
      <c r="M90" s="3" t="n"/>
      <c r="N90" s="3" t="n"/>
      <c r="O90" s="3" t="n"/>
    </row>
    <row r="91">
      <c r="A91" s="7" t="n"/>
      <c r="B91" s="3" t="n"/>
      <c r="C91" s="3" t="n"/>
      <c r="D91" s="3" t="n"/>
      <c r="E91" s="8" t="n"/>
      <c r="F91" s="8" t="n"/>
      <c r="G91" s="3" t="n"/>
      <c r="H91" s="3">
        <f>IF(OR(E91="",F91=""),"",ROUND(MOD(F91-E91,1)*24-N(G91)/60,2))</f>
        <v/>
      </c>
      <c r="I91" s="9">
        <f>Setup!$B$8</f>
        <v/>
      </c>
      <c r="J91" s="9">
        <f>IF(H91="","",ROUND(H91*I91,2))</f>
        <v/>
      </c>
      <c r="K91" s="9" t="n"/>
      <c r="L91" s="9">
        <f>IF(AND(J91="",K91=""),"",N(J91)+N(K91))</f>
        <v/>
      </c>
      <c r="M91" s="3" t="n"/>
      <c r="N91" s="3" t="n"/>
      <c r="O91" s="3" t="n"/>
    </row>
    <row r="92">
      <c r="A92" s="7" t="n"/>
      <c r="B92" s="3" t="n"/>
      <c r="C92" s="3" t="n"/>
      <c r="D92" s="3" t="n"/>
      <c r="E92" s="8" t="n"/>
      <c r="F92" s="8" t="n"/>
      <c r="G92" s="3" t="n"/>
      <c r="H92" s="3">
        <f>IF(OR(E92="",F92=""),"",ROUND(MOD(F92-E92,1)*24-N(G92)/60,2))</f>
        <v/>
      </c>
      <c r="I92" s="9">
        <f>Setup!$B$8</f>
        <v/>
      </c>
      <c r="J92" s="9">
        <f>IF(H92="","",ROUND(H92*I92,2))</f>
        <v/>
      </c>
      <c r="K92" s="9" t="n"/>
      <c r="L92" s="9">
        <f>IF(AND(J92="",K92=""),"",N(J92)+N(K92))</f>
        <v/>
      </c>
      <c r="M92" s="3" t="n"/>
      <c r="N92" s="3" t="n"/>
      <c r="O92" s="3" t="n"/>
    </row>
    <row r="93">
      <c r="A93" s="7" t="n"/>
      <c r="B93" s="3" t="n"/>
      <c r="C93" s="3" t="n"/>
      <c r="D93" s="3" t="n"/>
      <c r="E93" s="8" t="n"/>
      <c r="F93" s="8" t="n"/>
      <c r="G93" s="3" t="n"/>
      <c r="H93" s="3">
        <f>IF(OR(E93="",F93=""),"",ROUND(MOD(F93-E93,1)*24-N(G93)/60,2))</f>
        <v/>
      </c>
      <c r="I93" s="9">
        <f>Setup!$B$8</f>
        <v/>
      </c>
      <c r="J93" s="9">
        <f>IF(H93="","",ROUND(H93*I93,2))</f>
        <v/>
      </c>
      <c r="K93" s="9" t="n"/>
      <c r="L93" s="9">
        <f>IF(AND(J93="",K93=""),"",N(J93)+N(K93))</f>
        <v/>
      </c>
      <c r="M93" s="3" t="n"/>
      <c r="N93" s="3" t="n"/>
      <c r="O93" s="3" t="n"/>
    </row>
    <row r="94">
      <c r="A94" s="7" t="n"/>
      <c r="B94" s="3" t="n"/>
      <c r="C94" s="3" t="n"/>
      <c r="D94" s="3" t="n"/>
      <c r="E94" s="8" t="n"/>
      <c r="F94" s="8" t="n"/>
      <c r="G94" s="3" t="n"/>
      <c r="H94" s="3">
        <f>IF(OR(E94="",F94=""),"",ROUND(MOD(F94-E94,1)*24-N(G94)/60,2))</f>
        <v/>
      </c>
      <c r="I94" s="9">
        <f>Setup!$B$8</f>
        <v/>
      </c>
      <c r="J94" s="9">
        <f>IF(H94="","",ROUND(H94*I94,2))</f>
        <v/>
      </c>
      <c r="K94" s="9" t="n"/>
      <c r="L94" s="9">
        <f>IF(AND(J94="",K94=""),"",N(J94)+N(K94))</f>
        <v/>
      </c>
      <c r="M94" s="3" t="n"/>
      <c r="N94" s="3" t="n"/>
      <c r="O94" s="3" t="n"/>
    </row>
    <row r="95">
      <c r="A95" s="7" t="n"/>
      <c r="B95" s="3" t="n"/>
      <c r="C95" s="3" t="n"/>
      <c r="D95" s="3" t="n"/>
      <c r="E95" s="8" t="n"/>
      <c r="F95" s="8" t="n"/>
      <c r="G95" s="3" t="n"/>
      <c r="H95" s="3">
        <f>IF(OR(E95="",F95=""),"",ROUND(MOD(F95-E95,1)*24-N(G95)/60,2))</f>
        <v/>
      </c>
      <c r="I95" s="9">
        <f>Setup!$B$8</f>
        <v/>
      </c>
      <c r="J95" s="9">
        <f>IF(H95="","",ROUND(H95*I95,2))</f>
        <v/>
      </c>
      <c r="K95" s="9" t="n"/>
      <c r="L95" s="9">
        <f>IF(AND(J95="",K95=""),"",N(J95)+N(K95))</f>
        <v/>
      </c>
      <c r="M95" s="3" t="n"/>
      <c r="N95" s="3" t="n"/>
      <c r="O95" s="3" t="n"/>
    </row>
    <row r="96">
      <c r="A96" s="7" t="n"/>
      <c r="B96" s="3" t="n"/>
      <c r="C96" s="3" t="n"/>
      <c r="D96" s="3" t="n"/>
      <c r="E96" s="8" t="n"/>
      <c r="F96" s="8" t="n"/>
      <c r="G96" s="3" t="n"/>
      <c r="H96" s="3">
        <f>IF(OR(E96="",F96=""),"",ROUND(MOD(F96-E96,1)*24-N(G96)/60,2))</f>
        <v/>
      </c>
      <c r="I96" s="9">
        <f>Setup!$B$8</f>
        <v/>
      </c>
      <c r="J96" s="9">
        <f>IF(H96="","",ROUND(H96*I96,2))</f>
        <v/>
      </c>
      <c r="K96" s="9" t="n"/>
      <c r="L96" s="9">
        <f>IF(AND(J96="",K96=""),"",N(J96)+N(K96))</f>
        <v/>
      </c>
      <c r="M96" s="3" t="n"/>
      <c r="N96" s="3" t="n"/>
      <c r="O96" s="3" t="n"/>
    </row>
    <row r="97">
      <c r="A97" s="7" t="n"/>
      <c r="B97" s="3" t="n"/>
      <c r="C97" s="3" t="n"/>
      <c r="D97" s="3" t="n"/>
      <c r="E97" s="8" t="n"/>
      <c r="F97" s="8" t="n"/>
      <c r="G97" s="3" t="n"/>
      <c r="H97" s="3">
        <f>IF(OR(E97="",F97=""),"",ROUND(MOD(F97-E97,1)*24-N(G97)/60,2))</f>
        <v/>
      </c>
      <c r="I97" s="9">
        <f>Setup!$B$8</f>
        <v/>
      </c>
      <c r="J97" s="9">
        <f>IF(H97="","",ROUND(H97*I97,2))</f>
        <v/>
      </c>
      <c r="K97" s="9" t="n"/>
      <c r="L97" s="9">
        <f>IF(AND(J97="",K97=""),"",N(J97)+N(K97))</f>
        <v/>
      </c>
      <c r="M97" s="3" t="n"/>
      <c r="N97" s="3" t="n"/>
      <c r="O97" s="3" t="n"/>
    </row>
    <row r="98">
      <c r="A98" s="7" t="n"/>
      <c r="B98" s="3" t="n"/>
      <c r="C98" s="3" t="n"/>
      <c r="D98" s="3" t="n"/>
      <c r="E98" s="8" t="n"/>
      <c r="F98" s="8" t="n"/>
      <c r="G98" s="3" t="n"/>
      <c r="H98" s="3">
        <f>IF(OR(E98="",F98=""),"",ROUND(MOD(F98-E98,1)*24-N(G98)/60,2))</f>
        <v/>
      </c>
      <c r="I98" s="9">
        <f>Setup!$B$8</f>
        <v/>
      </c>
      <c r="J98" s="9">
        <f>IF(H98="","",ROUND(H98*I98,2))</f>
        <v/>
      </c>
      <c r="K98" s="9" t="n"/>
      <c r="L98" s="9">
        <f>IF(AND(J98="",K98=""),"",N(J98)+N(K98))</f>
        <v/>
      </c>
      <c r="M98" s="3" t="n"/>
      <c r="N98" s="3" t="n"/>
      <c r="O98" s="3" t="n"/>
    </row>
    <row r="99">
      <c r="A99" s="7" t="n"/>
      <c r="B99" s="3" t="n"/>
      <c r="C99" s="3" t="n"/>
      <c r="D99" s="3" t="n"/>
      <c r="E99" s="8" t="n"/>
      <c r="F99" s="8" t="n"/>
      <c r="G99" s="3" t="n"/>
      <c r="H99" s="3">
        <f>IF(OR(E99="",F99=""),"",ROUND(MOD(F99-E99,1)*24-N(G99)/60,2))</f>
        <v/>
      </c>
      <c r="I99" s="9">
        <f>Setup!$B$8</f>
        <v/>
      </c>
      <c r="J99" s="9">
        <f>IF(H99="","",ROUND(H99*I99,2))</f>
        <v/>
      </c>
      <c r="K99" s="9" t="n"/>
      <c r="L99" s="9">
        <f>IF(AND(J99="",K99=""),"",N(J99)+N(K99))</f>
        <v/>
      </c>
      <c r="M99" s="3" t="n"/>
      <c r="N99" s="3" t="n"/>
      <c r="O99" s="3" t="n"/>
    </row>
    <row r="100">
      <c r="A100" s="7" t="n"/>
      <c r="B100" s="3" t="n"/>
      <c r="C100" s="3" t="n"/>
      <c r="D100" s="3" t="n"/>
      <c r="E100" s="8" t="n"/>
      <c r="F100" s="8" t="n"/>
      <c r="G100" s="3" t="n"/>
      <c r="H100" s="3">
        <f>IF(OR(E100="",F100=""),"",ROUND(MOD(F100-E100,1)*24-N(G100)/60,2))</f>
        <v/>
      </c>
      <c r="I100" s="9">
        <f>Setup!$B$8</f>
        <v/>
      </c>
      <c r="J100" s="9">
        <f>IF(H100="","",ROUND(H100*I100,2))</f>
        <v/>
      </c>
      <c r="K100" s="9" t="n"/>
      <c r="L100" s="9">
        <f>IF(AND(J100="",K100=""),"",N(J100)+N(K100))</f>
        <v/>
      </c>
      <c r="M100" s="3" t="n"/>
      <c r="N100" s="3" t="n"/>
      <c r="O100" s="3" t="n"/>
    </row>
    <row r="101">
      <c r="A101" s="7" t="n"/>
      <c r="B101" s="3" t="n"/>
      <c r="C101" s="3" t="n"/>
      <c r="D101" s="3" t="n"/>
      <c r="E101" s="8" t="n"/>
      <c r="F101" s="8" t="n"/>
      <c r="G101" s="3" t="n"/>
      <c r="H101" s="3">
        <f>IF(OR(E101="",F101=""),"",ROUND(MOD(F101-E101,1)*24-N(G101)/60,2))</f>
        <v/>
      </c>
      <c r="I101" s="9">
        <f>Setup!$B$8</f>
        <v/>
      </c>
      <c r="J101" s="9">
        <f>IF(H101="","",ROUND(H101*I101,2))</f>
        <v/>
      </c>
      <c r="K101" s="9" t="n"/>
      <c r="L101" s="9">
        <f>IF(AND(J101="",K101=""),"",N(J101)+N(K101))</f>
        <v/>
      </c>
      <c r="M101" s="3" t="n"/>
      <c r="N101" s="3" t="n"/>
      <c r="O101" s="3" t="n"/>
    </row>
    <row r="102">
      <c r="A102" s="7" t="n"/>
      <c r="B102" s="3" t="n"/>
      <c r="C102" s="3" t="n"/>
      <c r="D102" s="3" t="n"/>
      <c r="E102" s="8" t="n"/>
      <c r="F102" s="8" t="n"/>
      <c r="G102" s="3" t="n"/>
      <c r="H102" s="3">
        <f>IF(OR(E102="",F102=""),"",ROUND(MOD(F102-E102,1)*24-N(G102)/60,2))</f>
        <v/>
      </c>
      <c r="I102" s="9">
        <f>Setup!$B$8</f>
        <v/>
      </c>
      <c r="J102" s="9">
        <f>IF(H102="","",ROUND(H102*I102,2))</f>
        <v/>
      </c>
      <c r="K102" s="9" t="n"/>
      <c r="L102" s="9">
        <f>IF(AND(J102="",K102=""),"",N(J102)+N(K102))</f>
        <v/>
      </c>
      <c r="M102" s="3" t="n"/>
      <c r="N102" s="3" t="n"/>
      <c r="O102" s="3" t="n"/>
    </row>
    <row r="103">
      <c r="A103" s="7" t="n"/>
      <c r="B103" s="3" t="n"/>
      <c r="C103" s="3" t="n"/>
      <c r="D103" s="3" t="n"/>
      <c r="E103" s="8" t="n"/>
      <c r="F103" s="8" t="n"/>
      <c r="G103" s="3" t="n"/>
      <c r="H103" s="3">
        <f>IF(OR(E103="",F103=""),"",ROUND(MOD(F103-E103,1)*24-N(G103)/60,2))</f>
        <v/>
      </c>
      <c r="I103" s="9">
        <f>Setup!$B$8</f>
        <v/>
      </c>
      <c r="J103" s="9">
        <f>IF(H103="","",ROUND(H103*I103,2))</f>
        <v/>
      </c>
      <c r="K103" s="9" t="n"/>
      <c r="L103" s="9">
        <f>IF(AND(J103="",K103=""),"",N(J103)+N(K103))</f>
        <v/>
      </c>
      <c r="M103" s="3" t="n"/>
      <c r="N103" s="3" t="n"/>
      <c r="O103" s="3" t="n"/>
    </row>
    <row r="104">
      <c r="A104" s="7" t="n"/>
      <c r="B104" s="3" t="n"/>
      <c r="C104" s="3" t="n"/>
      <c r="D104" s="3" t="n"/>
      <c r="E104" s="8" t="n"/>
      <c r="F104" s="8" t="n"/>
      <c r="G104" s="3" t="n"/>
      <c r="H104" s="3">
        <f>IF(OR(E104="",F104=""),"",ROUND(MOD(F104-E104,1)*24-N(G104)/60,2))</f>
        <v/>
      </c>
      <c r="I104" s="9">
        <f>Setup!$B$8</f>
        <v/>
      </c>
      <c r="J104" s="9">
        <f>IF(H104="","",ROUND(H104*I104,2))</f>
        <v/>
      </c>
      <c r="K104" s="9" t="n"/>
      <c r="L104" s="9">
        <f>IF(AND(J104="",K104=""),"",N(J104)+N(K104))</f>
        <v/>
      </c>
      <c r="M104" s="3" t="n"/>
      <c r="N104" s="3" t="n"/>
      <c r="O104" s="3" t="n"/>
    </row>
    <row r="105">
      <c r="A105" s="7" t="n"/>
      <c r="B105" s="3" t="n"/>
      <c r="C105" s="3" t="n"/>
      <c r="D105" s="3" t="n"/>
      <c r="E105" s="8" t="n"/>
      <c r="F105" s="8" t="n"/>
      <c r="G105" s="3" t="n"/>
      <c r="H105" s="3">
        <f>IF(OR(E105="",F105=""),"",ROUND(MOD(F105-E105,1)*24-N(G105)/60,2))</f>
        <v/>
      </c>
      <c r="I105" s="9">
        <f>Setup!$B$8</f>
        <v/>
      </c>
      <c r="J105" s="9">
        <f>IF(H105="","",ROUND(H105*I105,2))</f>
        <v/>
      </c>
      <c r="K105" s="9" t="n"/>
      <c r="L105" s="9">
        <f>IF(AND(J105="",K105=""),"",N(J105)+N(K105))</f>
        <v/>
      </c>
      <c r="M105" s="3" t="n"/>
      <c r="N105" s="3" t="n"/>
      <c r="O105" s="3" t="n"/>
    </row>
    <row r="106">
      <c r="A106" s="7" t="n"/>
      <c r="B106" s="3" t="n"/>
      <c r="C106" s="3" t="n"/>
      <c r="D106" s="3" t="n"/>
      <c r="E106" s="8" t="n"/>
      <c r="F106" s="8" t="n"/>
      <c r="G106" s="3" t="n"/>
      <c r="H106" s="3">
        <f>IF(OR(E106="",F106=""),"",ROUND(MOD(F106-E106,1)*24-N(G106)/60,2))</f>
        <v/>
      </c>
      <c r="I106" s="9">
        <f>Setup!$B$8</f>
        <v/>
      </c>
      <c r="J106" s="9">
        <f>IF(H106="","",ROUND(H106*I106,2))</f>
        <v/>
      </c>
      <c r="K106" s="9" t="n"/>
      <c r="L106" s="9">
        <f>IF(AND(J106="",K106=""),"",N(J106)+N(K106))</f>
        <v/>
      </c>
      <c r="M106" s="3" t="n"/>
      <c r="N106" s="3" t="n"/>
      <c r="O106" s="3" t="n"/>
    </row>
    <row r="107">
      <c r="A107" s="7" t="n"/>
      <c r="B107" s="3" t="n"/>
      <c r="C107" s="3" t="n"/>
      <c r="D107" s="3" t="n"/>
      <c r="E107" s="8" t="n"/>
      <c r="F107" s="8" t="n"/>
      <c r="G107" s="3" t="n"/>
      <c r="H107" s="3">
        <f>IF(OR(E107="",F107=""),"",ROUND(MOD(F107-E107,1)*24-N(G107)/60,2))</f>
        <v/>
      </c>
      <c r="I107" s="9">
        <f>Setup!$B$8</f>
        <v/>
      </c>
      <c r="J107" s="9">
        <f>IF(H107="","",ROUND(H107*I107,2))</f>
        <v/>
      </c>
      <c r="K107" s="9" t="n"/>
      <c r="L107" s="9">
        <f>IF(AND(J107="",K107=""),"",N(J107)+N(K107))</f>
        <v/>
      </c>
      <c r="M107" s="3" t="n"/>
      <c r="N107" s="3" t="n"/>
      <c r="O107" s="3" t="n"/>
    </row>
    <row r="108">
      <c r="A108" s="7" t="n"/>
      <c r="B108" s="3" t="n"/>
      <c r="C108" s="3" t="n"/>
      <c r="D108" s="3" t="n"/>
      <c r="E108" s="8" t="n"/>
      <c r="F108" s="8" t="n"/>
      <c r="G108" s="3" t="n"/>
      <c r="H108" s="3">
        <f>IF(OR(E108="",F108=""),"",ROUND(MOD(F108-E108,1)*24-N(G108)/60,2))</f>
        <v/>
      </c>
      <c r="I108" s="9">
        <f>Setup!$B$8</f>
        <v/>
      </c>
      <c r="J108" s="9">
        <f>IF(H108="","",ROUND(H108*I108,2))</f>
        <v/>
      </c>
      <c r="K108" s="9" t="n"/>
      <c r="L108" s="9">
        <f>IF(AND(J108="",K108=""),"",N(J108)+N(K108))</f>
        <v/>
      </c>
      <c r="M108" s="3" t="n"/>
      <c r="N108" s="3" t="n"/>
      <c r="O108" s="3" t="n"/>
    </row>
    <row r="109">
      <c r="A109" s="7" t="n"/>
      <c r="B109" s="3" t="n"/>
      <c r="C109" s="3" t="n"/>
      <c r="D109" s="3" t="n"/>
      <c r="E109" s="8" t="n"/>
      <c r="F109" s="8" t="n"/>
      <c r="G109" s="3" t="n"/>
      <c r="H109" s="3">
        <f>IF(OR(E109="",F109=""),"",ROUND(MOD(F109-E109,1)*24-N(G109)/60,2))</f>
        <v/>
      </c>
      <c r="I109" s="9">
        <f>Setup!$B$8</f>
        <v/>
      </c>
      <c r="J109" s="9">
        <f>IF(H109="","",ROUND(H109*I109,2))</f>
        <v/>
      </c>
      <c r="K109" s="9" t="n"/>
      <c r="L109" s="9">
        <f>IF(AND(J109="",K109=""),"",N(J109)+N(K109))</f>
        <v/>
      </c>
      <c r="M109" s="3" t="n"/>
      <c r="N109" s="3" t="n"/>
      <c r="O109" s="3" t="n"/>
    </row>
    <row r="110">
      <c r="A110" s="7" t="n"/>
      <c r="B110" s="3" t="n"/>
      <c r="C110" s="3" t="n"/>
      <c r="D110" s="3" t="n"/>
      <c r="E110" s="8" t="n"/>
      <c r="F110" s="8" t="n"/>
      <c r="G110" s="3" t="n"/>
      <c r="H110" s="3">
        <f>IF(OR(E110="",F110=""),"",ROUND(MOD(F110-E110,1)*24-N(G110)/60,2))</f>
        <v/>
      </c>
      <c r="I110" s="9">
        <f>Setup!$B$8</f>
        <v/>
      </c>
      <c r="J110" s="9">
        <f>IF(H110="","",ROUND(H110*I110,2))</f>
        <v/>
      </c>
      <c r="K110" s="9" t="n"/>
      <c r="L110" s="9">
        <f>IF(AND(J110="",K110=""),"",N(J110)+N(K110))</f>
        <v/>
      </c>
      <c r="M110" s="3" t="n"/>
      <c r="N110" s="3" t="n"/>
      <c r="O110" s="3" t="n"/>
    </row>
    <row r="111">
      <c r="A111" s="7" t="n"/>
      <c r="B111" s="3" t="n"/>
      <c r="C111" s="3" t="n"/>
      <c r="D111" s="3" t="n"/>
      <c r="E111" s="8" t="n"/>
      <c r="F111" s="8" t="n"/>
      <c r="G111" s="3" t="n"/>
      <c r="H111" s="3">
        <f>IF(OR(E111="",F111=""),"",ROUND(MOD(F111-E111,1)*24-N(G111)/60,2))</f>
        <v/>
      </c>
      <c r="I111" s="9">
        <f>Setup!$B$8</f>
        <v/>
      </c>
      <c r="J111" s="9">
        <f>IF(H111="","",ROUND(H111*I111,2))</f>
        <v/>
      </c>
      <c r="K111" s="9" t="n"/>
      <c r="L111" s="9">
        <f>IF(AND(J111="",K111=""),"",N(J111)+N(K111))</f>
        <v/>
      </c>
      <c r="M111" s="3" t="n"/>
      <c r="N111" s="3" t="n"/>
      <c r="O111" s="3" t="n"/>
    </row>
    <row r="112">
      <c r="A112" s="7" t="n"/>
      <c r="B112" s="3" t="n"/>
      <c r="C112" s="3" t="n"/>
      <c r="D112" s="3" t="n"/>
      <c r="E112" s="8" t="n"/>
      <c r="F112" s="8" t="n"/>
      <c r="G112" s="3" t="n"/>
      <c r="H112" s="3">
        <f>IF(OR(E112="",F112=""),"",ROUND(MOD(F112-E112,1)*24-N(G112)/60,2))</f>
        <v/>
      </c>
      <c r="I112" s="9">
        <f>Setup!$B$8</f>
        <v/>
      </c>
      <c r="J112" s="9">
        <f>IF(H112="","",ROUND(H112*I112,2))</f>
        <v/>
      </c>
      <c r="K112" s="9" t="n"/>
      <c r="L112" s="9">
        <f>IF(AND(J112="",K112=""),"",N(J112)+N(K112))</f>
        <v/>
      </c>
      <c r="M112" s="3" t="n"/>
      <c r="N112" s="3" t="n"/>
      <c r="O112" s="3" t="n"/>
    </row>
    <row r="113">
      <c r="A113" s="7" t="n"/>
      <c r="B113" s="3" t="n"/>
      <c r="C113" s="3" t="n"/>
      <c r="D113" s="3" t="n"/>
      <c r="E113" s="8" t="n"/>
      <c r="F113" s="8" t="n"/>
      <c r="G113" s="3" t="n"/>
      <c r="H113" s="3">
        <f>IF(OR(E113="",F113=""),"",ROUND(MOD(F113-E113,1)*24-N(G113)/60,2))</f>
        <v/>
      </c>
      <c r="I113" s="9">
        <f>Setup!$B$8</f>
        <v/>
      </c>
      <c r="J113" s="9">
        <f>IF(H113="","",ROUND(H113*I113,2))</f>
        <v/>
      </c>
      <c r="K113" s="9" t="n"/>
      <c r="L113" s="9">
        <f>IF(AND(J113="",K113=""),"",N(J113)+N(K113))</f>
        <v/>
      </c>
      <c r="M113" s="3" t="n"/>
      <c r="N113" s="3" t="n"/>
      <c r="O113" s="3" t="n"/>
    </row>
    <row r="114">
      <c r="A114" s="7" t="n"/>
      <c r="B114" s="3" t="n"/>
      <c r="C114" s="3" t="n"/>
      <c r="D114" s="3" t="n"/>
      <c r="E114" s="8" t="n"/>
      <c r="F114" s="8" t="n"/>
      <c r="G114" s="3" t="n"/>
      <c r="H114" s="3">
        <f>IF(OR(E114="",F114=""),"",ROUND(MOD(F114-E114,1)*24-N(G114)/60,2))</f>
        <v/>
      </c>
      <c r="I114" s="9">
        <f>Setup!$B$8</f>
        <v/>
      </c>
      <c r="J114" s="9">
        <f>IF(H114="","",ROUND(H114*I114,2))</f>
        <v/>
      </c>
      <c r="K114" s="9" t="n"/>
      <c r="L114" s="9">
        <f>IF(AND(J114="",K114=""),"",N(J114)+N(K114))</f>
        <v/>
      </c>
      <c r="M114" s="3" t="n"/>
      <c r="N114" s="3" t="n"/>
      <c r="O114" s="3" t="n"/>
    </row>
    <row r="115">
      <c r="A115" s="7" t="n"/>
      <c r="B115" s="3" t="n"/>
      <c r="C115" s="3" t="n"/>
      <c r="D115" s="3" t="n"/>
      <c r="E115" s="8" t="n"/>
      <c r="F115" s="8" t="n"/>
      <c r="G115" s="3" t="n"/>
      <c r="H115" s="3">
        <f>IF(OR(E115="",F115=""),"",ROUND(MOD(F115-E115,1)*24-N(G115)/60,2))</f>
        <v/>
      </c>
      <c r="I115" s="9">
        <f>Setup!$B$8</f>
        <v/>
      </c>
      <c r="J115" s="9">
        <f>IF(H115="","",ROUND(H115*I115,2))</f>
        <v/>
      </c>
      <c r="K115" s="9" t="n"/>
      <c r="L115" s="9">
        <f>IF(AND(J115="",K115=""),"",N(J115)+N(K115))</f>
        <v/>
      </c>
      <c r="M115" s="3" t="n"/>
      <c r="N115" s="3" t="n"/>
      <c r="O115" s="3" t="n"/>
    </row>
    <row r="116">
      <c r="A116" s="7" t="n"/>
      <c r="B116" s="3" t="n"/>
      <c r="C116" s="3" t="n"/>
      <c r="D116" s="3" t="n"/>
      <c r="E116" s="8" t="n"/>
      <c r="F116" s="8" t="n"/>
      <c r="G116" s="3" t="n"/>
      <c r="H116" s="3">
        <f>IF(OR(E116="",F116=""),"",ROUND(MOD(F116-E116,1)*24-N(G116)/60,2))</f>
        <v/>
      </c>
      <c r="I116" s="9">
        <f>Setup!$B$8</f>
        <v/>
      </c>
      <c r="J116" s="9">
        <f>IF(H116="","",ROUND(H116*I116,2))</f>
        <v/>
      </c>
      <c r="K116" s="9" t="n"/>
      <c r="L116" s="9">
        <f>IF(AND(J116="",K116=""),"",N(J116)+N(K116))</f>
        <v/>
      </c>
      <c r="M116" s="3" t="n"/>
      <c r="N116" s="3" t="n"/>
      <c r="O116" s="3" t="n"/>
    </row>
    <row r="117">
      <c r="A117" s="7" t="n"/>
      <c r="B117" s="3" t="n"/>
      <c r="C117" s="3" t="n"/>
      <c r="D117" s="3" t="n"/>
      <c r="E117" s="8" t="n"/>
      <c r="F117" s="8" t="n"/>
      <c r="G117" s="3" t="n"/>
      <c r="H117" s="3">
        <f>IF(OR(E117="",F117=""),"",ROUND(MOD(F117-E117,1)*24-N(G117)/60,2))</f>
        <v/>
      </c>
      <c r="I117" s="9">
        <f>Setup!$B$8</f>
        <v/>
      </c>
      <c r="J117" s="9">
        <f>IF(H117="","",ROUND(H117*I117,2))</f>
        <v/>
      </c>
      <c r="K117" s="9" t="n"/>
      <c r="L117" s="9">
        <f>IF(AND(J117="",K117=""),"",N(J117)+N(K117))</f>
        <v/>
      </c>
      <c r="M117" s="3" t="n"/>
      <c r="N117" s="3" t="n"/>
      <c r="O117" s="3" t="n"/>
    </row>
    <row r="118">
      <c r="A118" s="7" t="n"/>
      <c r="B118" s="3" t="n"/>
      <c r="C118" s="3" t="n"/>
      <c r="D118" s="3" t="n"/>
      <c r="E118" s="8" t="n"/>
      <c r="F118" s="8" t="n"/>
      <c r="G118" s="3" t="n"/>
      <c r="H118" s="3">
        <f>IF(OR(E118="",F118=""),"",ROUND(MOD(F118-E118,1)*24-N(G118)/60,2))</f>
        <v/>
      </c>
      <c r="I118" s="9">
        <f>Setup!$B$8</f>
        <v/>
      </c>
      <c r="J118" s="9">
        <f>IF(H118="","",ROUND(H118*I118,2))</f>
        <v/>
      </c>
      <c r="K118" s="9" t="n"/>
      <c r="L118" s="9">
        <f>IF(AND(J118="",K118=""),"",N(J118)+N(K118))</f>
        <v/>
      </c>
      <c r="M118" s="3" t="n"/>
      <c r="N118" s="3" t="n"/>
      <c r="O118" s="3" t="n"/>
    </row>
    <row r="119">
      <c r="A119" s="7" t="n"/>
      <c r="B119" s="3" t="n"/>
      <c r="C119" s="3" t="n"/>
      <c r="D119" s="3" t="n"/>
      <c r="E119" s="8" t="n"/>
      <c r="F119" s="8" t="n"/>
      <c r="G119" s="3" t="n"/>
      <c r="H119" s="3">
        <f>IF(OR(E119="",F119=""),"",ROUND(MOD(F119-E119,1)*24-N(G119)/60,2))</f>
        <v/>
      </c>
      <c r="I119" s="9">
        <f>Setup!$B$8</f>
        <v/>
      </c>
      <c r="J119" s="9">
        <f>IF(H119="","",ROUND(H119*I119,2))</f>
        <v/>
      </c>
      <c r="K119" s="9" t="n"/>
      <c r="L119" s="9">
        <f>IF(AND(J119="",K119=""),"",N(J119)+N(K119))</f>
        <v/>
      </c>
      <c r="M119" s="3" t="n"/>
      <c r="N119" s="3" t="n"/>
      <c r="O119" s="3" t="n"/>
    </row>
    <row r="120">
      <c r="A120" s="7" t="n"/>
      <c r="B120" s="3" t="n"/>
      <c r="C120" s="3" t="n"/>
      <c r="D120" s="3" t="n"/>
      <c r="E120" s="8" t="n"/>
      <c r="F120" s="8" t="n"/>
      <c r="G120" s="3" t="n"/>
      <c r="H120" s="3">
        <f>IF(OR(E120="",F120=""),"",ROUND(MOD(F120-E120,1)*24-N(G120)/60,2))</f>
        <v/>
      </c>
      <c r="I120" s="9">
        <f>Setup!$B$8</f>
        <v/>
      </c>
      <c r="J120" s="9">
        <f>IF(H120="","",ROUND(H120*I120,2))</f>
        <v/>
      </c>
      <c r="K120" s="9" t="n"/>
      <c r="L120" s="9">
        <f>IF(AND(J120="",K120=""),"",N(J120)+N(K120))</f>
        <v/>
      </c>
      <c r="M120" s="3" t="n"/>
      <c r="N120" s="3" t="n"/>
      <c r="O120" s="3" t="n"/>
    </row>
    <row r="121">
      <c r="A121" s="7" t="n"/>
      <c r="B121" s="3" t="n"/>
      <c r="C121" s="3" t="n"/>
      <c r="D121" s="3" t="n"/>
      <c r="E121" s="8" t="n"/>
      <c r="F121" s="8" t="n"/>
      <c r="G121" s="3" t="n"/>
      <c r="H121" s="3">
        <f>IF(OR(E121="",F121=""),"",ROUND(MOD(F121-E121,1)*24-N(G121)/60,2))</f>
        <v/>
      </c>
      <c r="I121" s="9">
        <f>Setup!$B$8</f>
        <v/>
      </c>
      <c r="J121" s="9">
        <f>IF(H121="","",ROUND(H121*I121,2))</f>
        <v/>
      </c>
      <c r="K121" s="9" t="n"/>
      <c r="L121" s="9">
        <f>IF(AND(J121="",K121=""),"",N(J121)+N(K121))</f>
        <v/>
      </c>
      <c r="M121" s="3" t="n"/>
      <c r="N121" s="3" t="n"/>
      <c r="O121" s="3" t="n"/>
    </row>
    <row r="122">
      <c r="A122" s="7" t="n"/>
      <c r="B122" s="3" t="n"/>
      <c r="C122" s="3" t="n"/>
      <c r="D122" s="3" t="n"/>
      <c r="E122" s="8" t="n"/>
      <c r="F122" s="8" t="n"/>
      <c r="G122" s="3" t="n"/>
      <c r="H122" s="3">
        <f>IF(OR(E122="",F122=""),"",ROUND(MOD(F122-E122,1)*24-N(G122)/60,2))</f>
        <v/>
      </c>
      <c r="I122" s="9">
        <f>Setup!$B$8</f>
        <v/>
      </c>
      <c r="J122" s="9">
        <f>IF(H122="","",ROUND(H122*I122,2))</f>
        <v/>
      </c>
      <c r="K122" s="9" t="n"/>
      <c r="L122" s="9">
        <f>IF(AND(J122="",K122=""),"",N(J122)+N(K122))</f>
        <v/>
      </c>
      <c r="M122" s="3" t="n"/>
      <c r="N122" s="3" t="n"/>
      <c r="O122" s="3" t="n"/>
    </row>
    <row r="123">
      <c r="A123" s="7" t="n"/>
      <c r="B123" s="3" t="n"/>
      <c r="C123" s="3" t="n"/>
      <c r="D123" s="3" t="n"/>
      <c r="E123" s="8" t="n"/>
      <c r="F123" s="8" t="n"/>
      <c r="G123" s="3" t="n"/>
      <c r="H123" s="3">
        <f>IF(OR(E123="",F123=""),"",ROUND(MOD(F123-E123,1)*24-N(G123)/60,2))</f>
        <v/>
      </c>
      <c r="I123" s="9">
        <f>Setup!$B$8</f>
        <v/>
      </c>
      <c r="J123" s="9">
        <f>IF(H123="","",ROUND(H123*I123,2))</f>
        <v/>
      </c>
      <c r="K123" s="9" t="n"/>
      <c r="L123" s="9">
        <f>IF(AND(J123="",K123=""),"",N(J123)+N(K123))</f>
        <v/>
      </c>
      <c r="M123" s="3" t="n"/>
      <c r="N123" s="3" t="n"/>
      <c r="O123" s="3" t="n"/>
    </row>
    <row r="124">
      <c r="A124" s="7" t="n"/>
      <c r="B124" s="3" t="n"/>
      <c r="C124" s="3" t="n"/>
      <c r="D124" s="3" t="n"/>
      <c r="E124" s="8" t="n"/>
      <c r="F124" s="8" t="n"/>
      <c r="G124" s="3" t="n"/>
      <c r="H124" s="3">
        <f>IF(OR(E124="",F124=""),"",ROUND(MOD(F124-E124,1)*24-N(G124)/60,2))</f>
        <v/>
      </c>
      <c r="I124" s="9">
        <f>Setup!$B$8</f>
        <v/>
      </c>
      <c r="J124" s="9">
        <f>IF(H124="","",ROUND(H124*I124,2))</f>
        <v/>
      </c>
      <c r="K124" s="9" t="n"/>
      <c r="L124" s="9">
        <f>IF(AND(J124="",K124=""),"",N(J124)+N(K124))</f>
        <v/>
      </c>
      <c r="M124" s="3" t="n"/>
      <c r="N124" s="3" t="n"/>
      <c r="O124" s="3" t="n"/>
    </row>
    <row r="125">
      <c r="A125" s="7" t="n"/>
      <c r="B125" s="3" t="n"/>
      <c r="C125" s="3" t="n"/>
      <c r="D125" s="3" t="n"/>
      <c r="E125" s="8" t="n"/>
      <c r="F125" s="8" t="n"/>
      <c r="G125" s="3" t="n"/>
      <c r="H125" s="3">
        <f>IF(OR(E125="",F125=""),"",ROUND(MOD(F125-E125,1)*24-N(G125)/60,2))</f>
        <v/>
      </c>
      <c r="I125" s="9">
        <f>Setup!$B$8</f>
        <v/>
      </c>
      <c r="J125" s="9">
        <f>IF(H125="","",ROUND(H125*I125,2))</f>
        <v/>
      </c>
      <c r="K125" s="9" t="n"/>
      <c r="L125" s="9">
        <f>IF(AND(J125="",K125=""),"",N(J125)+N(K125))</f>
        <v/>
      </c>
      <c r="M125" s="3" t="n"/>
      <c r="N125" s="3" t="n"/>
      <c r="O125" s="3" t="n"/>
    </row>
    <row r="126">
      <c r="A126" s="7" t="n"/>
      <c r="B126" s="3" t="n"/>
      <c r="C126" s="3" t="n"/>
      <c r="D126" s="3" t="n"/>
      <c r="E126" s="8" t="n"/>
      <c r="F126" s="8" t="n"/>
      <c r="G126" s="3" t="n"/>
      <c r="H126" s="3">
        <f>IF(OR(E126="",F126=""),"",ROUND(MOD(F126-E126,1)*24-N(G126)/60,2))</f>
        <v/>
      </c>
      <c r="I126" s="9">
        <f>Setup!$B$8</f>
        <v/>
      </c>
      <c r="J126" s="9">
        <f>IF(H126="","",ROUND(H126*I126,2))</f>
        <v/>
      </c>
      <c r="K126" s="9" t="n"/>
      <c r="L126" s="9">
        <f>IF(AND(J126="",K126=""),"",N(J126)+N(K126))</f>
        <v/>
      </c>
      <c r="M126" s="3" t="n"/>
      <c r="N126" s="3" t="n"/>
      <c r="O126" s="3" t="n"/>
    </row>
    <row r="127">
      <c r="A127" s="7" t="n"/>
      <c r="B127" s="3" t="n"/>
      <c r="C127" s="3" t="n"/>
      <c r="D127" s="3" t="n"/>
      <c r="E127" s="8" t="n"/>
      <c r="F127" s="8" t="n"/>
      <c r="G127" s="3" t="n"/>
      <c r="H127" s="3">
        <f>IF(OR(E127="",F127=""),"",ROUND(MOD(F127-E127,1)*24-N(G127)/60,2))</f>
        <v/>
      </c>
      <c r="I127" s="9">
        <f>Setup!$B$8</f>
        <v/>
      </c>
      <c r="J127" s="9">
        <f>IF(H127="","",ROUND(H127*I127,2))</f>
        <v/>
      </c>
      <c r="K127" s="9" t="n"/>
      <c r="L127" s="9">
        <f>IF(AND(J127="",K127=""),"",N(J127)+N(K127))</f>
        <v/>
      </c>
      <c r="M127" s="3" t="n"/>
      <c r="N127" s="3" t="n"/>
      <c r="O127" s="3" t="n"/>
    </row>
    <row r="128">
      <c r="A128" s="7" t="n"/>
      <c r="B128" s="3" t="n"/>
      <c r="C128" s="3" t="n"/>
      <c r="D128" s="3" t="n"/>
      <c r="E128" s="8" t="n"/>
      <c r="F128" s="8" t="n"/>
      <c r="G128" s="3" t="n"/>
      <c r="H128" s="3">
        <f>IF(OR(E128="",F128=""),"",ROUND(MOD(F128-E128,1)*24-N(G128)/60,2))</f>
        <v/>
      </c>
      <c r="I128" s="9">
        <f>Setup!$B$8</f>
        <v/>
      </c>
      <c r="J128" s="9">
        <f>IF(H128="","",ROUND(H128*I128,2))</f>
        <v/>
      </c>
      <c r="K128" s="9" t="n"/>
      <c r="L128" s="9">
        <f>IF(AND(J128="",K128=""),"",N(J128)+N(K128))</f>
        <v/>
      </c>
      <c r="M128" s="3" t="n"/>
      <c r="N128" s="3" t="n"/>
      <c r="O128" s="3" t="n"/>
    </row>
    <row r="129">
      <c r="A129" s="7" t="n"/>
      <c r="B129" s="3" t="n"/>
      <c r="C129" s="3" t="n"/>
      <c r="D129" s="3" t="n"/>
      <c r="E129" s="8" t="n"/>
      <c r="F129" s="8" t="n"/>
      <c r="G129" s="3" t="n"/>
      <c r="H129" s="3">
        <f>IF(OR(E129="",F129=""),"",ROUND(MOD(F129-E129,1)*24-N(G129)/60,2))</f>
        <v/>
      </c>
      <c r="I129" s="9">
        <f>Setup!$B$8</f>
        <v/>
      </c>
      <c r="J129" s="9">
        <f>IF(H129="","",ROUND(H129*I129,2))</f>
        <v/>
      </c>
      <c r="K129" s="9" t="n"/>
      <c r="L129" s="9">
        <f>IF(AND(J129="",K129=""),"",N(J129)+N(K129))</f>
        <v/>
      </c>
      <c r="M129" s="3" t="n"/>
      <c r="N129" s="3" t="n"/>
      <c r="O129" s="3" t="n"/>
    </row>
    <row r="130">
      <c r="A130" s="7" t="n"/>
      <c r="B130" s="3" t="n"/>
      <c r="C130" s="3" t="n"/>
      <c r="D130" s="3" t="n"/>
      <c r="E130" s="8" t="n"/>
      <c r="F130" s="8" t="n"/>
      <c r="G130" s="3" t="n"/>
      <c r="H130" s="3">
        <f>IF(OR(E130="",F130=""),"",ROUND(MOD(F130-E130,1)*24-N(G130)/60,2))</f>
        <v/>
      </c>
      <c r="I130" s="9">
        <f>Setup!$B$8</f>
        <v/>
      </c>
      <c r="J130" s="9">
        <f>IF(H130="","",ROUND(H130*I130,2))</f>
        <v/>
      </c>
      <c r="K130" s="9" t="n"/>
      <c r="L130" s="9">
        <f>IF(AND(J130="",K130=""),"",N(J130)+N(K130))</f>
        <v/>
      </c>
      <c r="M130" s="3" t="n"/>
      <c r="N130" s="3" t="n"/>
      <c r="O130" s="3" t="n"/>
    </row>
    <row r="131">
      <c r="A131" s="7" t="n"/>
      <c r="B131" s="3" t="n"/>
      <c r="C131" s="3" t="n"/>
      <c r="D131" s="3" t="n"/>
      <c r="E131" s="8" t="n"/>
      <c r="F131" s="8" t="n"/>
      <c r="G131" s="3" t="n"/>
      <c r="H131" s="3">
        <f>IF(OR(E131="",F131=""),"",ROUND(MOD(F131-E131,1)*24-N(G131)/60,2))</f>
        <v/>
      </c>
      <c r="I131" s="9">
        <f>Setup!$B$8</f>
        <v/>
      </c>
      <c r="J131" s="9">
        <f>IF(H131="","",ROUND(H131*I131,2))</f>
        <v/>
      </c>
      <c r="K131" s="9" t="n"/>
      <c r="L131" s="9">
        <f>IF(AND(J131="",K131=""),"",N(J131)+N(K131))</f>
        <v/>
      </c>
      <c r="M131" s="3" t="n"/>
      <c r="N131" s="3" t="n"/>
      <c r="O131" s="3" t="n"/>
    </row>
    <row r="132">
      <c r="A132" s="7" t="n"/>
      <c r="B132" s="3" t="n"/>
      <c r="C132" s="3" t="n"/>
      <c r="D132" s="3" t="n"/>
      <c r="E132" s="8" t="n"/>
      <c r="F132" s="8" t="n"/>
      <c r="G132" s="3" t="n"/>
      <c r="H132" s="3">
        <f>IF(OR(E132="",F132=""),"",ROUND(MOD(F132-E132,1)*24-N(G132)/60,2))</f>
        <v/>
      </c>
      <c r="I132" s="9">
        <f>Setup!$B$8</f>
        <v/>
      </c>
      <c r="J132" s="9">
        <f>IF(H132="","",ROUND(H132*I132,2))</f>
        <v/>
      </c>
      <c r="K132" s="9" t="n"/>
      <c r="L132" s="9">
        <f>IF(AND(J132="",K132=""),"",N(J132)+N(K132))</f>
        <v/>
      </c>
      <c r="M132" s="3" t="n"/>
      <c r="N132" s="3" t="n"/>
      <c r="O132" s="3" t="n"/>
    </row>
    <row r="133">
      <c r="A133" s="7" t="n"/>
      <c r="B133" s="3" t="n"/>
      <c r="C133" s="3" t="n"/>
      <c r="D133" s="3" t="n"/>
      <c r="E133" s="8" t="n"/>
      <c r="F133" s="8" t="n"/>
      <c r="G133" s="3" t="n"/>
      <c r="H133" s="3">
        <f>IF(OR(E133="",F133=""),"",ROUND(MOD(F133-E133,1)*24-N(G133)/60,2))</f>
        <v/>
      </c>
      <c r="I133" s="9">
        <f>Setup!$B$8</f>
        <v/>
      </c>
      <c r="J133" s="9">
        <f>IF(H133="","",ROUND(H133*I133,2))</f>
        <v/>
      </c>
      <c r="K133" s="9" t="n"/>
      <c r="L133" s="9">
        <f>IF(AND(J133="",K133=""),"",N(J133)+N(K133))</f>
        <v/>
      </c>
      <c r="M133" s="3" t="n"/>
      <c r="N133" s="3" t="n"/>
      <c r="O133" s="3" t="n"/>
    </row>
    <row r="134">
      <c r="A134" s="7" t="n"/>
      <c r="B134" s="3" t="n"/>
      <c r="C134" s="3" t="n"/>
      <c r="D134" s="3" t="n"/>
      <c r="E134" s="8" t="n"/>
      <c r="F134" s="8" t="n"/>
      <c r="G134" s="3" t="n"/>
      <c r="H134" s="3">
        <f>IF(OR(E134="",F134=""),"",ROUND(MOD(F134-E134,1)*24-N(G134)/60,2))</f>
        <v/>
      </c>
      <c r="I134" s="9">
        <f>Setup!$B$8</f>
        <v/>
      </c>
      <c r="J134" s="9">
        <f>IF(H134="","",ROUND(H134*I134,2))</f>
        <v/>
      </c>
      <c r="K134" s="9" t="n"/>
      <c r="L134" s="9">
        <f>IF(AND(J134="",K134=""),"",N(J134)+N(K134))</f>
        <v/>
      </c>
      <c r="M134" s="3" t="n"/>
      <c r="N134" s="3" t="n"/>
      <c r="O134" s="3" t="n"/>
    </row>
    <row r="135">
      <c r="A135" s="7" t="n"/>
      <c r="B135" s="3" t="n"/>
      <c r="C135" s="3" t="n"/>
      <c r="D135" s="3" t="n"/>
      <c r="E135" s="8" t="n"/>
      <c r="F135" s="8" t="n"/>
      <c r="G135" s="3" t="n"/>
      <c r="H135" s="3">
        <f>IF(OR(E135="",F135=""),"",ROUND(MOD(F135-E135,1)*24-N(G135)/60,2))</f>
        <v/>
      </c>
      <c r="I135" s="9">
        <f>Setup!$B$8</f>
        <v/>
      </c>
      <c r="J135" s="9">
        <f>IF(H135="","",ROUND(H135*I135,2))</f>
        <v/>
      </c>
      <c r="K135" s="9" t="n"/>
      <c r="L135" s="9">
        <f>IF(AND(J135="",K135=""),"",N(J135)+N(K135))</f>
        <v/>
      </c>
      <c r="M135" s="3" t="n"/>
      <c r="N135" s="3" t="n"/>
      <c r="O135" s="3" t="n"/>
    </row>
    <row r="136">
      <c r="A136" s="7" t="n"/>
      <c r="B136" s="3" t="n"/>
      <c r="C136" s="3" t="n"/>
      <c r="D136" s="3" t="n"/>
      <c r="E136" s="8" t="n"/>
      <c r="F136" s="8" t="n"/>
      <c r="G136" s="3" t="n"/>
      <c r="H136" s="3">
        <f>IF(OR(E136="",F136=""),"",ROUND(MOD(F136-E136,1)*24-N(G136)/60,2))</f>
        <v/>
      </c>
      <c r="I136" s="9">
        <f>Setup!$B$8</f>
        <v/>
      </c>
      <c r="J136" s="9">
        <f>IF(H136="","",ROUND(H136*I136,2))</f>
        <v/>
      </c>
      <c r="K136" s="9" t="n"/>
      <c r="L136" s="9">
        <f>IF(AND(J136="",K136=""),"",N(J136)+N(K136))</f>
        <v/>
      </c>
      <c r="M136" s="3" t="n"/>
      <c r="N136" s="3" t="n"/>
      <c r="O136" s="3" t="n"/>
    </row>
    <row r="137">
      <c r="A137" s="7" t="n"/>
      <c r="B137" s="3" t="n"/>
      <c r="C137" s="3" t="n"/>
      <c r="D137" s="3" t="n"/>
      <c r="E137" s="8" t="n"/>
      <c r="F137" s="8" t="n"/>
      <c r="G137" s="3" t="n"/>
      <c r="H137" s="3">
        <f>IF(OR(E137="",F137=""),"",ROUND(MOD(F137-E137,1)*24-N(G137)/60,2))</f>
        <v/>
      </c>
      <c r="I137" s="9">
        <f>Setup!$B$8</f>
        <v/>
      </c>
      <c r="J137" s="9">
        <f>IF(H137="","",ROUND(H137*I137,2))</f>
        <v/>
      </c>
      <c r="K137" s="9" t="n"/>
      <c r="L137" s="9">
        <f>IF(AND(J137="",K137=""),"",N(J137)+N(K137))</f>
        <v/>
      </c>
      <c r="M137" s="3" t="n"/>
      <c r="N137" s="3" t="n"/>
      <c r="O137" s="3" t="n"/>
    </row>
    <row r="138">
      <c r="A138" s="7" t="n"/>
      <c r="B138" s="3" t="n"/>
      <c r="C138" s="3" t="n"/>
      <c r="D138" s="3" t="n"/>
      <c r="E138" s="8" t="n"/>
      <c r="F138" s="8" t="n"/>
      <c r="G138" s="3" t="n"/>
      <c r="H138" s="3">
        <f>IF(OR(E138="",F138=""),"",ROUND(MOD(F138-E138,1)*24-N(G138)/60,2))</f>
        <v/>
      </c>
      <c r="I138" s="9">
        <f>Setup!$B$8</f>
        <v/>
      </c>
      <c r="J138" s="9">
        <f>IF(H138="","",ROUND(H138*I138,2))</f>
        <v/>
      </c>
      <c r="K138" s="9" t="n"/>
      <c r="L138" s="9">
        <f>IF(AND(J138="",K138=""),"",N(J138)+N(K138))</f>
        <v/>
      </c>
      <c r="M138" s="3" t="n"/>
      <c r="N138" s="3" t="n"/>
      <c r="O138" s="3" t="n"/>
    </row>
    <row r="139">
      <c r="A139" s="7" t="n"/>
      <c r="B139" s="3" t="n"/>
      <c r="C139" s="3" t="n"/>
      <c r="D139" s="3" t="n"/>
      <c r="E139" s="8" t="n"/>
      <c r="F139" s="8" t="n"/>
      <c r="G139" s="3" t="n"/>
      <c r="H139" s="3">
        <f>IF(OR(E139="",F139=""),"",ROUND(MOD(F139-E139,1)*24-N(G139)/60,2))</f>
        <v/>
      </c>
      <c r="I139" s="9">
        <f>Setup!$B$8</f>
        <v/>
      </c>
      <c r="J139" s="9">
        <f>IF(H139="","",ROUND(H139*I139,2))</f>
        <v/>
      </c>
      <c r="K139" s="9" t="n"/>
      <c r="L139" s="9">
        <f>IF(AND(J139="",K139=""),"",N(J139)+N(K139))</f>
        <v/>
      </c>
      <c r="M139" s="3" t="n"/>
      <c r="N139" s="3" t="n"/>
      <c r="O139" s="3" t="n"/>
    </row>
    <row r="140">
      <c r="A140" s="7" t="n"/>
      <c r="B140" s="3" t="n"/>
      <c r="C140" s="3" t="n"/>
      <c r="D140" s="3" t="n"/>
      <c r="E140" s="8" t="n"/>
      <c r="F140" s="8" t="n"/>
      <c r="G140" s="3" t="n"/>
      <c r="H140" s="3">
        <f>IF(OR(E140="",F140=""),"",ROUND(MOD(F140-E140,1)*24-N(G140)/60,2))</f>
        <v/>
      </c>
      <c r="I140" s="9">
        <f>Setup!$B$8</f>
        <v/>
      </c>
      <c r="J140" s="9">
        <f>IF(H140="","",ROUND(H140*I140,2))</f>
        <v/>
      </c>
      <c r="K140" s="9" t="n"/>
      <c r="L140" s="9">
        <f>IF(AND(J140="",K140=""),"",N(J140)+N(K140))</f>
        <v/>
      </c>
      <c r="M140" s="3" t="n"/>
      <c r="N140" s="3" t="n"/>
      <c r="O140" s="3" t="n"/>
    </row>
    <row r="141">
      <c r="A141" s="7" t="n"/>
      <c r="B141" s="3" t="n"/>
      <c r="C141" s="3" t="n"/>
      <c r="D141" s="3" t="n"/>
      <c r="E141" s="8" t="n"/>
      <c r="F141" s="8" t="n"/>
      <c r="G141" s="3" t="n"/>
      <c r="H141" s="3">
        <f>IF(OR(E141="",F141=""),"",ROUND(MOD(F141-E141,1)*24-N(G141)/60,2))</f>
        <v/>
      </c>
      <c r="I141" s="9">
        <f>Setup!$B$8</f>
        <v/>
      </c>
      <c r="J141" s="9">
        <f>IF(H141="","",ROUND(H141*I141,2))</f>
        <v/>
      </c>
      <c r="K141" s="9" t="n"/>
      <c r="L141" s="9">
        <f>IF(AND(J141="",K141=""),"",N(J141)+N(K141))</f>
        <v/>
      </c>
      <c r="M141" s="3" t="n"/>
      <c r="N141" s="3" t="n"/>
      <c r="O141" s="3" t="n"/>
    </row>
    <row r="142">
      <c r="A142" s="7" t="n"/>
      <c r="B142" s="3" t="n"/>
      <c r="C142" s="3" t="n"/>
      <c r="D142" s="3" t="n"/>
      <c r="E142" s="8" t="n"/>
      <c r="F142" s="8" t="n"/>
      <c r="G142" s="3" t="n"/>
      <c r="H142" s="3">
        <f>IF(OR(E142="",F142=""),"",ROUND(MOD(F142-E142,1)*24-N(G142)/60,2))</f>
        <v/>
      </c>
      <c r="I142" s="9">
        <f>Setup!$B$8</f>
        <v/>
      </c>
      <c r="J142" s="9">
        <f>IF(H142="","",ROUND(H142*I142,2))</f>
        <v/>
      </c>
      <c r="K142" s="9" t="n"/>
      <c r="L142" s="9">
        <f>IF(AND(J142="",K142=""),"",N(J142)+N(K142))</f>
        <v/>
      </c>
      <c r="M142" s="3" t="n"/>
      <c r="N142" s="3" t="n"/>
      <c r="O142" s="3" t="n"/>
    </row>
    <row r="143">
      <c r="A143" s="7" t="n"/>
      <c r="B143" s="3" t="n"/>
      <c r="C143" s="3" t="n"/>
      <c r="D143" s="3" t="n"/>
      <c r="E143" s="8" t="n"/>
      <c r="F143" s="8" t="n"/>
      <c r="G143" s="3" t="n"/>
      <c r="H143" s="3">
        <f>IF(OR(E143="",F143=""),"",ROUND(MOD(F143-E143,1)*24-N(G143)/60,2))</f>
        <v/>
      </c>
      <c r="I143" s="9">
        <f>Setup!$B$8</f>
        <v/>
      </c>
      <c r="J143" s="9">
        <f>IF(H143="","",ROUND(H143*I143,2))</f>
        <v/>
      </c>
      <c r="K143" s="9" t="n"/>
      <c r="L143" s="9">
        <f>IF(AND(J143="",K143=""),"",N(J143)+N(K143))</f>
        <v/>
      </c>
      <c r="M143" s="3" t="n"/>
      <c r="N143" s="3" t="n"/>
      <c r="O143" s="3" t="n"/>
    </row>
    <row r="144">
      <c r="A144" s="7" t="n"/>
      <c r="B144" s="3" t="n"/>
      <c r="C144" s="3" t="n"/>
      <c r="D144" s="3" t="n"/>
      <c r="E144" s="8" t="n"/>
      <c r="F144" s="8" t="n"/>
      <c r="G144" s="3" t="n"/>
      <c r="H144" s="3">
        <f>IF(OR(E144="",F144=""),"",ROUND(MOD(F144-E144,1)*24-N(G144)/60,2))</f>
        <v/>
      </c>
      <c r="I144" s="9">
        <f>Setup!$B$8</f>
        <v/>
      </c>
      <c r="J144" s="9">
        <f>IF(H144="","",ROUND(H144*I144,2))</f>
        <v/>
      </c>
      <c r="K144" s="9" t="n"/>
      <c r="L144" s="9">
        <f>IF(AND(J144="",K144=""),"",N(J144)+N(K144))</f>
        <v/>
      </c>
      <c r="M144" s="3" t="n"/>
      <c r="N144" s="3" t="n"/>
      <c r="O144" s="3" t="n"/>
    </row>
    <row r="145">
      <c r="A145" s="7" t="n"/>
      <c r="B145" s="3" t="n"/>
      <c r="C145" s="3" t="n"/>
      <c r="D145" s="3" t="n"/>
      <c r="E145" s="8" t="n"/>
      <c r="F145" s="8" t="n"/>
      <c r="G145" s="3" t="n"/>
      <c r="H145" s="3">
        <f>IF(OR(E145="",F145=""),"",ROUND(MOD(F145-E145,1)*24-N(G145)/60,2))</f>
        <v/>
      </c>
      <c r="I145" s="9">
        <f>Setup!$B$8</f>
        <v/>
      </c>
      <c r="J145" s="9">
        <f>IF(H145="","",ROUND(H145*I145,2))</f>
        <v/>
      </c>
      <c r="K145" s="9" t="n"/>
      <c r="L145" s="9">
        <f>IF(AND(J145="",K145=""),"",N(J145)+N(K145))</f>
        <v/>
      </c>
      <c r="M145" s="3" t="n"/>
      <c r="N145" s="3" t="n"/>
      <c r="O145" s="3" t="n"/>
    </row>
    <row r="146">
      <c r="A146" s="7" t="n"/>
      <c r="B146" s="3" t="n"/>
      <c r="C146" s="3" t="n"/>
      <c r="D146" s="3" t="n"/>
      <c r="E146" s="8" t="n"/>
      <c r="F146" s="8" t="n"/>
      <c r="G146" s="3" t="n"/>
      <c r="H146" s="3">
        <f>IF(OR(E146="",F146=""),"",ROUND(MOD(F146-E146,1)*24-N(G146)/60,2))</f>
        <v/>
      </c>
      <c r="I146" s="9">
        <f>Setup!$B$8</f>
        <v/>
      </c>
      <c r="J146" s="9">
        <f>IF(H146="","",ROUND(H146*I146,2))</f>
        <v/>
      </c>
      <c r="K146" s="9" t="n"/>
      <c r="L146" s="9">
        <f>IF(AND(J146="",K146=""),"",N(J146)+N(K146))</f>
        <v/>
      </c>
      <c r="M146" s="3" t="n"/>
      <c r="N146" s="3" t="n"/>
      <c r="O146" s="3" t="n"/>
    </row>
    <row r="147">
      <c r="A147" s="7" t="n"/>
      <c r="B147" s="3" t="n"/>
      <c r="C147" s="3" t="n"/>
      <c r="D147" s="3" t="n"/>
      <c r="E147" s="8" t="n"/>
      <c r="F147" s="8" t="n"/>
      <c r="G147" s="3" t="n"/>
      <c r="H147" s="3">
        <f>IF(OR(E147="",F147=""),"",ROUND(MOD(F147-E147,1)*24-N(G147)/60,2))</f>
        <v/>
      </c>
      <c r="I147" s="9">
        <f>Setup!$B$8</f>
        <v/>
      </c>
      <c r="J147" s="9">
        <f>IF(H147="","",ROUND(H147*I147,2))</f>
        <v/>
      </c>
      <c r="K147" s="9" t="n"/>
      <c r="L147" s="9">
        <f>IF(AND(J147="",K147=""),"",N(J147)+N(K147))</f>
        <v/>
      </c>
      <c r="M147" s="3" t="n"/>
      <c r="N147" s="3" t="n"/>
      <c r="O147" s="3" t="n"/>
    </row>
    <row r="148">
      <c r="A148" s="7" t="n"/>
      <c r="B148" s="3" t="n"/>
      <c r="C148" s="3" t="n"/>
      <c r="D148" s="3" t="n"/>
      <c r="E148" s="8" t="n"/>
      <c r="F148" s="8" t="n"/>
      <c r="G148" s="3" t="n"/>
      <c r="H148" s="3">
        <f>IF(OR(E148="",F148=""),"",ROUND(MOD(F148-E148,1)*24-N(G148)/60,2))</f>
        <v/>
      </c>
      <c r="I148" s="9">
        <f>Setup!$B$8</f>
        <v/>
      </c>
      <c r="J148" s="9">
        <f>IF(H148="","",ROUND(H148*I148,2))</f>
        <v/>
      </c>
      <c r="K148" s="9" t="n"/>
      <c r="L148" s="9">
        <f>IF(AND(J148="",K148=""),"",N(J148)+N(K148))</f>
        <v/>
      </c>
      <c r="M148" s="3" t="n"/>
      <c r="N148" s="3" t="n"/>
      <c r="O148" s="3" t="n"/>
    </row>
    <row r="149">
      <c r="A149" s="7" t="n"/>
      <c r="B149" s="3" t="n"/>
      <c r="C149" s="3" t="n"/>
      <c r="D149" s="3" t="n"/>
      <c r="E149" s="8" t="n"/>
      <c r="F149" s="8" t="n"/>
      <c r="G149" s="3" t="n"/>
      <c r="H149" s="3">
        <f>IF(OR(E149="",F149=""),"",ROUND(MOD(F149-E149,1)*24-N(G149)/60,2))</f>
        <v/>
      </c>
      <c r="I149" s="9">
        <f>Setup!$B$8</f>
        <v/>
      </c>
      <c r="J149" s="9">
        <f>IF(H149="","",ROUND(H149*I149,2))</f>
        <v/>
      </c>
      <c r="K149" s="9" t="n"/>
      <c r="L149" s="9">
        <f>IF(AND(J149="",K149=""),"",N(J149)+N(K149))</f>
        <v/>
      </c>
      <c r="M149" s="3" t="n"/>
      <c r="N149" s="3" t="n"/>
      <c r="O149" s="3" t="n"/>
    </row>
    <row r="150">
      <c r="A150" s="7" t="n"/>
      <c r="B150" s="3" t="n"/>
      <c r="C150" s="3" t="n"/>
      <c r="D150" s="3" t="n"/>
      <c r="E150" s="8" t="n"/>
      <c r="F150" s="8" t="n"/>
      <c r="G150" s="3" t="n"/>
      <c r="H150" s="3">
        <f>IF(OR(E150="",F150=""),"",ROUND(MOD(F150-E150,1)*24-N(G150)/60,2))</f>
        <v/>
      </c>
      <c r="I150" s="9">
        <f>Setup!$B$8</f>
        <v/>
      </c>
      <c r="J150" s="9">
        <f>IF(H150="","",ROUND(H150*I150,2))</f>
        <v/>
      </c>
      <c r="K150" s="9" t="n"/>
      <c r="L150" s="9">
        <f>IF(AND(J150="",K150=""),"",N(J150)+N(K150))</f>
        <v/>
      </c>
      <c r="M150" s="3" t="n"/>
      <c r="N150" s="3" t="n"/>
      <c r="O150" s="3" t="n"/>
    </row>
    <row r="151">
      <c r="A151" s="7" t="n"/>
      <c r="B151" s="3" t="n"/>
      <c r="C151" s="3" t="n"/>
      <c r="D151" s="3" t="n"/>
      <c r="E151" s="8" t="n"/>
      <c r="F151" s="8" t="n"/>
      <c r="G151" s="3" t="n"/>
      <c r="H151" s="3">
        <f>IF(OR(E151="",F151=""),"",ROUND(MOD(F151-E151,1)*24-N(G151)/60,2))</f>
        <v/>
      </c>
      <c r="I151" s="9">
        <f>Setup!$B$8</f>
        <v/>
      </c>
      <c r="J151" s="9">
        <f>IF(H151="","",ROUND(H151*I151,2))</f>
        <v/>
      </c>
      <c r="K151" s="9" t="n"/>
      <c r="L151" s="9">
        <f>IF(AND(J151="",K151=""),"",N(J151)+N(K151))</f>
        <v/>
      </c>
      <c r="M151" s="3" t="n"/>
      <c r="N151" s="3" t="n"/>
      <c r="O151" s="3" t="n"/>
    </row>
    <row r="152">
      <c r="A152" s="7" t="n"/>
      <c r="B152" s="3" t="n"/>
      <c r="C152" s="3" t="n"/>
      <c r="D152" s="3" t="n"/>
      <c r="E152" s="8" t="n"/>
      <c r="F152" s="8" t="n"/>
      <c r="G152" s="3" t="n"/>
      <c r="H152" s="3">
        <f>IF(OR(E152="",F152=""),"",ROUND(MOD(F152-E152,1)*24-N(G152)/60,2))</f>
        <v/>
      </c>
      <c r="I152" s="9">
        <f>Setup!$B$8</f>
        <v/>
      </c>
      <c r="J152" s="9">
        <f>IF(H152="","",ROUND(H152*I152,2))</f>
        <v/>
      </c>
      <c r="K152" s="9" t="n"/>
      <c r="L152" s="9">
        <f>IF(AND(J152="",K152=""),"",N(J152)+N(K152))</f>
        <v/>
      </c>
      <c r="M152" s="3" t="n"/>
      <c r="N152" s="3" t="n"/>
      <c r="O152" s="3" t="n"/>
    </row>
    <row r="153">
      <c r="A153" s="7" t="n"/>
      <c r="B153" s="3" t="n"/>
      <c r="C153" s="3" t="n"/>
      <c r="D153" s="3" t="n"/>
      <c r="E153" s="8" t="n"/>
      <c r="F153" s="8" t="n"/>
      <c r="G153" s="3" t="n"/>
      <c r="H153" s="3">
        <f>IF(OR(E153="",F153=""),"",ROUND(MOD(F153-E153,1)*24-N(G153)/60,2))</f>
        <v/>
      </c>
      <c r="I153" s="9">
        <f>Setup!$B$8</f>
        <v/>
      </c>
      <c r="J153" s="9">
        <f>IF(H153="","",ROUND(H153*I153,2))</f>
        <v/>
      </c>
      <c r="K153" s="9" t="n"/>
      <c r="L153" s="9">
        <f>IF(AND(J153="",K153=""),"",N(J153)+N(K153))</f>
        <v/>
      </c>
      <c r="M153" s="3" t="n"/>
      <c r="N153" s="3" t="n"/>
      <c r="O153" s="3" t="n"/>
    </row>
    <row r="154">
      <c r="A154" s="7" t="n"/>
      <c r="B154" s="3" t="n"/>
      <c r="C154" s="3" t="n"/>
      <c r="D154" s="3" t="n"/>
      <c r="E154" s="8" t="n"/>
      <c r="F154" s="8" t="n"/>
      <c r="G154" s="3" t="n"/>
      <c r="H154" s="3">
        <f>IF(OR(E154="",F154=""),"",ROUND(MOD(F154-E154,1)*24-N(G154)/60,2))</f>
        <v/>
      </c>
      <c r="I154" s="9">
        <f>Setup!$B$8</f>
        <v/>
      </c>
      <c r="J154" s="9">
        <f>IF(H154="","",ROUND(H154*I154,2))</f>
        <v/>
      </c>
      <c r="K154" s="9" t="n"/>
      <c r="L154" s="9">
        <f>IF(AND(J154="",K154=""),"",N(J154)+N(K154))</f>
        <v/>
      </c>
      <c r="M154" s="3" t="n"/>
      <c r="N154" s="3" t="n"/>
      <c r="O154" s="3" t="n"/>
    </row>
    <row r="155">
      <c r="A155" s="7" t="n"/>
      <c r="B155" s="3" t="n"/>
      <c r="C155" s="3" t="n"/>
      <c r="D155" s="3" t="n"/>
      <c r="E155" s="8" t="n"/>
      <c r="F155" s="8" t="n"/>
      <c r="G155" s="3" t="n"/>
      <c r="H155" s="3">
        <f>IF(OR(E155="",F155=""),"",ROUND(MOD(F155-E155,1)*24-N(G155)/60,2))</f>
        <v/>
      </c>
      <c r="I155" s="9">
        <f>Setup!$B$8</f>
        <v/>
      </c>
      <c r="J155" s="9">
        <f>IF(H155="","",ROUND(H155*I155,2))</f>
        <v/>
      </c>
      <c r="K155" s="9" t="n"/>
      <c r="L155" s="9">
        <f>IF(AND(J155="",K155=""),"",N(J155)+N(K155))</f>
        <v/>
      </c>
      <c r="M155" s="3" t="n"/>
      <c r="N155" s="3" t="n"/>
      <c r="O155" s="3" t="n"/>
    </row>
    <row r="156">
      <c r="A156" s="7" t="n"/>
      <c r="B156" s="3" t="n"/>
      <c r="C156" s="3" t="n"/>
      <c r="D156" s="3" t="n"/>
      <c r="E156" s="8" t="n"/>
      <c r="F156" s="8" t="n"/>
      <c r="G156" s="3" t="n"/>
      <c r="H156" s="3">
        <f>IF(OR(E156="",F156=""),"",ROUND(MOD(F156-E156,1)*24-N(G156)/60,2))</f>
        <v/>
      </c>
      <c r="I156" s="9">
        <f>Setup!$B$8</f>
        <v/>
      </c>
      <c r="J156" s="9">
        <f>IF(H156="","",ROUND(H156*I156,2))</f>
        <v/>
      </c>
      <c r="K156" s="9" t="n"/>
      <c r="L156" s="9">
        <f>IF(AND(J156="",K156=""),"",N(J156)+N(K156))</f>
        <v/>
      </c>
      <c r="M156" s="3" t="n"/>
      <c r="N156" s="3" t="n"/>
      <c r="O156" s="3" t="n"/>
    </row>
    <row r="157">
      <c r="A157" s="7" t="n"/>
      <c r="B157" s="3" t="n"/>
      <c r="C157" s="3" t="n"/>
      <c r="D157" s="3" t="n"/>
      <c r="E157" s="8" t="n"/>
      <c r="F157" s="8" t="n"/>
      <c r="G157" s="3" t="n"/>
      <c r="H157" s="3">
        <f>IF(OR(E157="",F157=""),"",ROUND(MOD(F157-E157,1)*24-N(G157)/60,2))</f>
        <v/>
      </c>
      <c r="I157" s="9">
        <f>Setup!$B$8</f>
        <v/>
      </c>
      <c r="J157" s="9">
        <f>IF(H157="","",ROUND(H157*I157,2))</f>
        <v/>
      </c>
      <c r="K157" s="9" t="n"/>
      <c r="L157" s="9">
        <f>IF(AND(J157="",K157=""),"",N(J157)+N(K157))</f>
        <v/>
      </c>
      <c r="M157" s="3" t="n"/>
      <c r="N157" s="3" t="n"/>
      <c r="O157" s="3" t="n"/>
    </row>
    <row r="158">
      <c r="A158" s="7" t="n"/>
      <c r="B158" s="3" t="n"/>
      <c r="C158" s="3" t="n"/>
      <c r="D158" s="3" t="n"/>
      <c r="E158" s="8" t="n"/>
      <c r="F158" s="8" t="n"/>
      <c r="G158" s="3" t="n"/>
      <c r="H158" s="3">
        <f>IF(OR(E158="",F158=""),"",ROUND(MOD(F158-E158,1)*24-N(G158)/60,2))</f>
        <v/>
      </c>
      <c r="I158" s="9">
        <f>Setup!$B$8</f>
        <v/>
      </c>
      <c r="J158" s="9">
        <f>IF(H158="","",ROUND(H158*I158,2))</f>
        <v/>
      </c>
      <c r="K158" s="9" t="n"/>
      <c r="L158" s="9">
        <f>IF(AND(J158="",K158=""),"",N(J158)+N(K158))</f>
        <v/>
      </c>
      <c r="M158" s="3" t="n"/>
      <c r="N158" s="3" t="n"/>
      <c r="O158" s="3" t="n"/>
    </row>
    <row r="159">
      <c r="A159" s="7" t="n"/>
      <c r="B159" s="3" t="n"/>
      <c r="C159" s="3" t="n"/>
      <c r="D159" s="3" t="n"/>
      <c r="E159" s="8" t="n"/>
      <c r="F159" s="8" t="n"/>
      <c r="G159" s="3" t="n"/>
      <c r="H159" s="3">
        <f>IF(OR(E159="",F159=""),"",ROUND(MOD(F159-E159,1)*24-N(G159)/60,2))</f>
        <v/>
      </c>
      <c r="I159" s="9">
        <f>Setup!$B$8</f>
        <v/>
      </c>
      <c r="J159" s="9">
        <f>IF(H159="","",ROUND(H159*I159,2))</f>
        <v/>
      </c>
      <c r="K159" s="9" t="n"/>
      <c r="L159" s="9">
        <f>IF(AND(J159="",K159=""),"",N(J159)+N(K159))</f>
        <v/>
      </c>
      <c r="M159" s="3" t="n"/>
      <c r="N159" s="3" t="n"/>
      <c r="O159" s="3" t="n"/>
    </row>
    <row r="160">
      <c r="A160" s="7" t="n"/>
      <c r="B160" s="3" t="n"/>
      <c r="C160" s="3" t="n"/>
      <c r="D160" s="3" t="n"/>
      <c r="E160" s="8" t="n"/>
      <c r="F160" s="8" t="n"/>
      <c r="G160" s="3" t="n"/>
      <c r="H160" s="3">
        <f>IF(OR(E160="",F160=""),"",ROUND(MOD(F160-E160,1)*24-N(G160)/60,2))</f>
        <v/>
      </c>
      <c r="I160" s="9">
        <f>Setup!$B$8</f>
        <v/>
      </c>
      <c r="J160" s="9">
        <f>IF(H160="","",ROUND(H160*I160,2))</f>
        <v/>
      </c>
      <c r="K160" s="9" t="n"/>
      <c r="L160" s="9">
        <f>IF(AND(J160="",K160=""),"",N(J160)+N(K160))</f>
        <v/>
      </c>
      <c r="M160" s="3" t="n"/>
      <c r="N160" s="3" t="n"/>
      <c r="O160" s="3" t="n"/>
    </row>
    <row r="161">
      <c r="A161" s="7" t="n"/>
      <c r="B161" s="3" t="n"/>
      <c r="C161" s="3" t="n"/>
      <c r="D161" s="3" t="n"/>
      <c r="E161" s="8" t="n"/>
      <c r="F161" s="8" t="n"/>
      <c r="G161" s="3" t="n"/>
      <c r="H161" s="3">
        <f>IF(OR(E161="",F161=""),"",ROUND(MOD(F161-E161,1)*24-N(G161)/60,2))</f>
        <v/>
      </c>
      <c r="I161" s="9">
        <f>Setup!$B$8</f>
        <v/>
      </c>
      <c r="J161" s="9">
        <f>IF(H161="","",ROUND(H161*I161,2))</f>
        <v/>
      </c>
      <c r="K161" s="9" t="n"/>
      <c r="L161" s="9">
        <f>IF(AND(J161="",K161=""),"",N(J161)+N(K161))</f>
        <v/>
      </c>
      <c r="M161" s="3" t="n"/>
      <c r="N161" s="3" t="n"/>
      <c r="O161" s="3" t="n"/>
    </row>
    <row r="162">
      <c r="A162" s="7" t="n"/>
      <c r="B162" s="3" t="n"/>
      <c r="C162" s="3" t="n"/>
      <c r="D162" s="3" t="n"/>
      <c r="E162" s="8" t="n"/>
      <c r="F162" s="8" t="n"/>
      <c r="G162" s="3" t="n"/>
      <c r="H162" s="3">
        <f>IF(OR(E162="",F162=""),"",ROUND(MOD(F162-E162,1)*24-N(G162)/60,2))</f>
        <v/>
      </c>
      <c r="I162" s="9">
        <f>Setup!$B$8</f>
        <v/>
      </c>
      <c r="J162" s="9">
        <f>IF(H162="","",ROUND(H162*I162,2))</f>
        <v/>
      </c>
      <c r="K162" s="9" t="n"/>
      <c r="L162" s="9">
        <f>IF(AND(J162="",K162=""),"",N(J162)+N(K162))</f>
        <v/>
      </c>
      <c r="M162" s="3" t="n"/>
      <c r="N162" s="3" t="n"/>
      <c r="O162" s="3" t="n"/>
    </row>
    <row r="163">
      <c r="A163" s="7" t="n"/>
      <c r="B163" s="3" t="n"/>
      <c r="C163" s="3" t="n"/>
      <c r="D163" s="3" t="n"/>
      <c r="E163" s="8" t="n"/>
      <c r="F163" s="8" t="n"/>
      <c r="G163" s="3" t="n"/>
      <c r="H163" s="3">
        <f>IF(OR(E163="",F163=""),"",ROUND(MOD(F163-E163,1)*24-N(G163)/60,2))</f>
        <v/>
      </c>
      <c r="I163" s="9">
        <f>Setup!$B$8</f>
        <v/>
      </c>
      <c r="J163" s="9">
        <f>IF(H163="","",ROUND(H163*I163,2))</f>
        <v/>
      </c>
      <c r="K163" s="9" t="n"/>
      <c r="L163" s="9">
        <f>IF(AND(J163="",K163=""),"",N(J163)+N(K163))</f>
        <v/>
      </c>
      <c r="M163" s="3" t="n"/>
      <c r="N163" s="3" t="n"/>
      <c r="O163" s="3" t="n"/>
    </row>
    <row r="164">
      <c r="A164" s="7" t="n"/>
      <c r="B164" s="3" t="n"/>
      <c r="C164" s="3" t="n"/>
      <c r="D164" s="3" t="n"/>
      <c r="E164" s="8" t="n"/>
      <c r="F164" s="8" t="n"/>
      <c r="G164" s="3" t="n"/>
      <c r="H164" s="3">
        <f>IF(OR(E164="",F164=""),"",ROUND(MOD(F164-E164,1)*24-N(G164)/60,2))</f>
        <v/>
      </c>
      <c r="I164" s="9">
        <f>Setup!$B$8</f>
        <v/>
      </c>
      <c r="J164" s="9">
        <f>IF(H164="","",ROUND(H164*I164,2))</f>
        <v/>
      </c>
      <c r="K164" s="9" t="n"/>
      <c r="L164" s="9">
        <f>IF(AND(J164="",K164=""),"",N(J164)+N(K164))</f>
        <v/>
      </c>
      <c r="M164" s="3" t="n"/>
      <c r="N164" s="3" t="n"/>
      <c r="O164" s="3" t="n"/>
    </row>
    <row r="165">
      <c r="A165" s="7" t="n"/>
      <c r="B165" s="3" t="n"/>
      <c r="C165" s="3" t="n"/>
      <c r="D165" s="3" t="n"/>
      <c r="E165" s="8" t="n"/>
      <c r="F165" s="8" t="n"/>
      <c r="G165" s="3" t="n"/>
      <c r="H165" s="3">
        <f>IF(OR(E165="",F165=""),"",ROUND(MOD(F165-E165,1)*24-N(G165)/60,2))</f>
        <v/>
      </c>
      <c r="I165" s="9">
        <f>Setup!$B$8</f>
        <v/>
      </c>
      <c r="J165" s="9">
        <f>IF(H165="","",ROUND(H165*I165,2))</f>
        <v/>
      </c>
      <c r="K165" s="9" t="n"/>
      <c r="L165" s="9">
        <f>IF(AND(J165="",K165=""),"",N(J165)+N(K165))</f>
        <v/>
      </c>
      <c r="M165" s="3" t="n"/>
      <c r="N165" s="3" t="n"/>
      <c r="O165" s="3" t="n"/>
    </row>
    <row r="166">
      <c r="A166" s="7" t="n"/>
      <c r="B166" s="3" t="n"/>
      <c r="C166" s="3" t="n"/>
      <c r="D166" s="3" t="n"/>
      <c r="E166" s="8" t="n"/>
      <c r="F166" s="8" t="n"/>
      <c r="G166" s="3" t="n"/>
      <c r="H166" s="3">
        <f>IF(OR(E166="",F166=""),"",ROUND(MOD(F166-E166,1)*24-N(G166)/60,2))</f>
        <v/>
      </c>
      <c r="I166" s="9">
        <f>Setup!$B$8</f>
        <v/>
      </c>
      <c r="J166" s="9">
        <f>IF(H166="","",ROUND(H166*I166,2))</f>
        <v/>
      </c>
      <c r="K166" s="9" t="n"/>
      <c r="L166" s="9">
        <f>IF(AND(J166="",K166=""),"",N(J166)+N(K166))</f>
        <v/>
      </c>
      <c r="M166" s="3" t="n"/>
      <c r="N166" s="3" t="n"/>
      <c r="O166" s="3" t="n"/>
    </row>
    <row r="167">
      <c r="A167" s="7" t="n"/>
      <c r="B167" s="3" t="n"/>
      <c r="C167" s="3" t="n"/>
      <c r="D167" s="3" t="n"/>
      <c r="E167" s="8" t="n"/>
      <c r="F167" s="8" t="n"/>
      <c r="G167" s="3" t="n"/>
      <c r="H167" s="3">
        <f>IF(OR(E167="",F167=""),"",ROUND(MOD(F167-E167,1)*24-N(G167)/60,2))</f>
        <v/>
      </c>
      <c r="I167" s="9">
        <f>Setup!$B$8</f>
        <v/>
      </c>
      <c r="J167" s="9">
        <f>IF(H167="","",ROUND(H167*I167,2))</f>
        <v/>
      </c>
      <c r="K167" s="9" t="n"/>
      <c r="L167" s="9">
        <f>IF(AND(J167="",K167=""),"",N(J167)+N(K167))</f>
        <v/>
      </c>
      <c r="M167" s="3" t="n"/>
      <c r="N167" s="3" t="n"/>
      <c r="O167" s="3" t="n"/>
    </row>
    <row r="168">
      <c r="A168" s="7" t="n"/>
      <c r="B168" s="3" t="n"/>
      <c r="C168" s="3" t="n"/>
      <c r="D168" s="3" t="n"/>
      <c r="E168" s="8" t="n"/>
      <c r="F168" s="8" t="n"/>
      <c r="G168" s="3" t="n"/>
      <c r="H168" s="3">
        <f>IF(OR(E168="",F168=""),"",ROUND(MOD(F168-E168,1)*24-N(G168)/60,2))</f>
        <v/>
      </c>
      <c r="I168" s="9">
        <f>Setup!$B$8</f>
        <v/>
      </c>
      <c r="J168" s="9">
        <f>IF(H168="","",ROUND(H168*I168,2))</f>
        <v/>
      </c>
      <c r="K168" s="9" t="n"/>
      <c r="L168" s="9">
        <f>IF(AND(J168="",K168=""),"",N(J168)+N(K168))</f>
        <v/>
      </c>
      <c r="M168" s="3" t="n"/>
      <c r="N168" s="3" t="n"/>
      <c r="O168" s="3" t="n"/>
    </row>
    <row r="169">
      <c r="A169" s="7" t="n"/>
      <c r="B169" s="3" t="n"/>
      <c r="C169" s="3" t="n"/>
      <c r="D169" s="3" t="n"/>
      <c r="E169" s="8" t="n"/>
      <c r="F169" s="8" t="n"/>
      <c r="G169" s="3" t="n"/>
      <c r="H169" s="3">
        <f>IF(OR(E169="",F169=""),"",ROUND(MOD(F169-E169,1)*24-N(G169)/60,2))</f>
        <v/>
      </c>
      <c r="I169" s="9">
        <f>Setup!$B$8</f>
        <v/>
      </c>
      <c r="J169" s="9">
        <f>IF(H169="","",ROUND(H169*I169,2))</f>
        <v/>
      </c>
      <c r="K169" s="9" t="n"/>
      <c r="L169" s="9">
        <f>IF(AND(J169="",K169=""),"",N(J169)+N(K169))</f>
        <v/>
      </c>
      <c r="M169" s="3" t="n"/>
      <c r="N169" s="3" t="n"/>
      <c r="O169" s="3" t="n"/>
    </row>
    <row r="170">
      <c r="A170" s="7" t="n"/>
      <c r="B170" s="3" t="n"/>
      <c r="C170" s="3" t="n"/>
      <c r="D170" s="3" t="n"/>
      <c r="E170" s="8" t="n"/>
      <c r="F170" s="8" t="n"/>
      <c r="G170" s="3" t="n"/>
      <c r="H170" s="3">
        <f>IF(OR(E170="",F170=""),"",ROUND(MOD(F170-E170,1)*24-N(G170)/60,2))</f>
        <v/>
      </c>
      <c r="I170" s="9">
        <f>Setup!$B$8</f>
        <v/>
      </c>
      <c r="J170" s="9">
        <f>IF(H170="","",ROUND(H170*I170,2))</f>
        <v/>
      </c>
      <c r="K170" s="9" t="n"/>
      <c r="L170" s="9">
        <f>IF(AND(J170="",K170=""),"",N(J170)+N(K170))</f>
        <v/>
      </c>
      <c r="M170" s="3" t="n"/>
      <c r="N170" s="3" t="n"/>
      <c r="O170" s="3" t="n"/>
    </row>
    <row r="171">
      <c r="A171" s="7" t="n"/>
      <c r="B171" s="3" t="n"/>
      <c r="C171" s="3" t="n"/>
      <c r="D171" s="3" t="n"/>
      <c r="E171" s="8" t="n"/>
      <c r="F171" s="8" t="n"/>
      <c r="G171" s="3" t="n"/>
      <c r="H171" s="3">
        <f>IF(OR(E171="",F171=""),"",ROUND(MOD(F171-E171,1)*24-N(G171)/60,2))</f>
        <v/>
      </c>
      <c r="I171" s="9">
        <f>Setup!$B$8</f>
        <v/>
      </c>
      <c r="J171" s="9">
        <f>IF(H171="","",ROUND(H171*I171,2))</f>
        <v/>
      </c>
      <c r="K171" s="9" t="n"/>
      <c r="L171" s="9">
        <f>IF(AND(J171="",K171=""),"",N(J171)+N(K171))</f>
        <v/>
      </c>
      <c r="M171" s="3" t="n"/>
      <c r="N171" s="3" t="n"/>
      <c r="O171" s="3" t="n"/>
    </row>
    <row r="172">
      <c r="A172" s="7" t="n"/>
      <c r="B172" s="3" t="n"/>
      <c r="C172" s="3" t="n"/>
      <c r="D172" s="3" t="n"/>
      <c r="E172" s="8" t="n"/>
      <c r="F172" s="8" t="n"/>
      <c r="G172" s="3" t="n"/>
      <c r="H172" s="3">
        <f>IF(OR(E172="",F172=""),"",ROUND(MOD(F172-E172,1)*24-N(G172)/60,2))</f>
        <v/>
      </c>
      <c r="I172" s="9">
        <f>Setup!$B$8</f>
        <v/>
      </c>
      <c r="J172" s="9">
        <f>IF(H172="","",ROUND(H172*I172,2))</f>
        <v/>
      </c>
      <c r="K172" s="9" t="n"/>
      <c r="L172" s="9">
        <f>IF(AND(J172="",K172=""),"",N(J172)+N(K172))</f>
        <v/>
      </c>
      <c r="M172" s="3" t="n"/>
      <c r="N172" s="3" t="n"/>
      <c r="O172" s="3" t="n"/>
    </row>
    <row r="173">
      <c r="A173" s="7" t="n"/>
      <c r="B173" s="3" t="n"/>
      <c r="C173" s="3" t="n"/>
      <c r="D173" s="3" t="n"/>
      <c r="E173" s="8" t="n"/>
      <c r="F173" s="8" t="n"/>
      <c r="G173" s="3" t="n"/>
      <c r="H173" s="3">
        <f>IF(OR(E173="",F173=""),"",ROUND(MOD(F173-E173,1)*24-N(G173)/60,2))</f>
        <v/>
      </c>
      <c r="I173" s="9">
        <f>Setup!$B$8</f>
        <v/>
      </c>
      <c r="J173" s="9">
        <f>IF(H173="","",ROUND(H173*I173,2))</f>
        <v/>
      </c>
      <c r="K173" s="9" t="n"/>
      <c r="L173" s="9">
        <f>IF(AND(J173="",K173=""),"",N(J173)+N(K173))</f>
        <v/>
      </c>
      <c r="M173" s="3" t="n"/>
      <c r="N173" s="3" t="n"/>
      <c r="O173" s="3" t="n"/>
    </row>
    <row r="174">
      <c r="A174" s="7" t="n"/>
      <c r="B174" s="3" t="n"/>
      <c r="C174" s="3" t="n"/>
      <c r="D174" s="3" t="n"/>
      <c r="E174" s="8" t="n"/>
      <c r="F174" s="8" t="n"/>
      <c r="G174" s="3" t="n"/>
      <c r="H174" s="3">
        <f>IF(OR(E174="",F174=""),"",ROUND(MOD(F174-E174,1)*24-N(G174)/60,2))</f>
        <v/>
      </c>
      <c r="I174" s="9">
        <f>Setup!$B$8</f>
        <v/>
      </c>
      <c r="J174" s="9">
        <f>IF(H174="","",ROUND(H174*I174,2))</f>
        <v/>
      </c>
      <c r="K174" s="9" t="n"/>
      <c r="L174" s="9">
        <f>IF(AND(J174="",K174=""),"",N(J174)+N(K174))</f>
        <v/>
      </c>
      <c r="M174" s="3" t="n"/>
      <c r="N174" s="3" t="n"/>
      <c r="O174" s="3" t="n"/>
    </row>
    <row r="175">
      <c r="A175" s="7" t="n"/>
      <c r="B175" s="3" t="n"/>
      <c r="C175" s="3" t="n"/>
      <c r="D175" s="3" t="n"/>
      <c r="E175" s="8" t="n"/>
      <c r="F175" s="8" t="n"/>
      <c r="G175" s="3" t="n"/>
      <c r="H175" s="3">
        <f>IF(OR(E175="",F175=""),"",ROUND(MOD(F175-E175,1)*24-N(G175)/60,2))</f>
        <v/>
      </c>
      <c r="I175" s="9">
        <f>Setup!$B$8</f>
        <v/>
      </c>
      <c r="J175" s="9">
        <f>IF(H175="","",ROUND(H175*I175,2))</f>
        <v/>
      </c>
      <c r="K175" s="9" t="n"/>
      <c r="L175" s="9">
        <f>IF(AND(J175="",K175=""),"",N(J175)+N(K175))</f>
        <v/>
      </c>
      <c r="M175" s="3" t="n"/>
      <c r="N175" s="3" t="n"/>
      <c r="O175" s="3" t="n"/>
    </row>
    <row r="176">
      <c r="A176" s="7" t="n"/>
      <c r="B176" s="3" t="n"/>
      <c r="C176" s="3" t="n"/>
      <c r="D176" s="3" t="n"/>
      <c r="E176" s="8" t="n"/>
      <c r="F176" s="8" t="n"/>
      <c r="G176" s="3" t="n"/>
      <c r="H176" s="3">
        <f>IF(OR(E176="",F176=""),"",ROUND(MOD(F176-E176,1)*24-N(G176)/60,2))</f>
        <v/>
      </c>
      <c r="I176" s="9">
        <f>Setup!$B$8</f>
        <v/>
      </c>
      <c r="J176" s="9">
        <f>IF(H176="","",ROUND(H176*I176,2))</f>
        <v/>
      </c>
      <c r="K176" s="9" t="n"/>
      <c r="L176" s="9">
        <f>IF(AND(J176="",K176=""),"",N(J176)+N(K176))</f>
        <v/>
      </c>
      <c r="M176" s="3" t="n"/>
      <c r="N176" s="3" t="n"/>
      <c r="O176" s="3" t="n"/>
    </row>
    <row r="177">
      <c r="A177" s="7" t="n"/>
      <c r="B177" s="3" t="n"/>
      <c r="C177" s="3" t="n"/>
      <c r="D177" s="3" t="n"/>
      <c r="E177" s="8" t="n"/>
      <c r="F177" s="8" t="n"/>
      <c r="G177" s="3" t="n"/>
      <c r="H177" s="3">
        <f>IF(OR(E177="",F177=""),"",ROUND(MOD(F177-E177,1)*24-N(G177)/60,2))</f>
        <v/>
      </c>
      <c r="I177" s="9">
        <f>Setup!$B$8</f>
        <v/>
      </c>
      <c r="J177" s="9">
        <f>IF(H177="","",ROUND(H177*I177,2))</f>
        <v/>
      </c>
      <c r="K177" s="9" t="n"/>
      <c r="L177" s="9">
        <f>IF(AND(J177="",K177=""),"",N(J177)+N(K177))</f>
        <v/>
      </c>
      <c r="M177" s="3" t="n"/>
      <c r="N177" s="3" t="n"/>
      <c r="O177" s="3" t="n"/>
    </row>
    <row r="178">
      <c r="A178" s="7" t="n"/>
      <c r="B178" s="3" t="n"/>
      <c r="C178" s="3" t="n"/>
      <c r="D178" s="3" t="n"/>
      <c r="E178" s="8" t="n"/>
      <c r="F178" s="8" t="n"/>
      <c r="G178" s="3" t="n"/>
      <c r="H178" s="3">
        <f>IF(OR(E178="",F178=""),"",ROUND(MOD(F178-E178,1)*24-N(G178)/60,2))</f>
        <v/>
      </c>
      <c r="I178" s="9">
        <f>Setup!$B$8</f>
        <v/>
      </c>
      <c r="J178" s="9">
        <f>IF(H178="","",ROUND(H178*I178,2))</f>
        <v/>
      </c>
      <c r="K178" s="9" t="n"/>
      <c r="L178" s="9">
        <f>IF(AND(J178="",K178=""),"",N(J178)+N(K178))</f>
        <v/>
      </c>
      <c r="M178" s="3" t="n"/>
      <c r="N178" s="3" t="n"/>
      <c r="O178" s="3" t="n"/>
    </row>
    <row r="179">
      <c r="A179" s="7" t="n"/>
      <c r="B179" s="3" t="n"/>
      <c r="C179" s="3" t="n"/>
      <c r="D179" s="3" t="n"/>
      <c r="E179" s="8" t="n"/>
      <c r="F179" s="8" t="n"/>
      <c r="G179" s="3" t="n"/>
      <c r="H179" s="3">
        <f>IF(OR(E179="",F179=""),"",ROUND(MOD(F179-E179,1)*24-N(G179)/60,2))</f>
        <v/>
      </c>
      <c r="I179" s="9">
        <f>Setup!$B$8</f>
        <v/>
      </c>
      <c r="J179" s="9">
        <f>IF(H179="","",ROUND(H179*I179,2))</f>
        <v/>
      </c>
      <c r="K179" s="9" t="n"/>
      <c r="L179" s="9">
        <f>IF(AND(J179="",K179=""),"",N(J179)+N(K179))</f>
        <v/>
      </c>
      <c r="M179" s="3" t="n"/>
      <c r="N179" s="3" t="n"/>
      <c r="O179" s="3" t="n"/>
    </row>
    <row r="180">
      <c r="A180" s="7" t="n"/>
      <c r="B180" s="3" t="n"/>
      <c r="C180" s="3" t="n"/>
      <c r="D180" s="3" t="n"/>
      <c r="E180" s="8" t="n"/>
      <c r="F180" s="8" t="n"/>
      <c r="G180" s="3" t="n"/>
      <c r="H180" s="3">
        <f>IF(OR(E180="",F180=""),"",ROUND(MOD(F180-E180,1)*24-N(G180)/60,2))</f>
        <v/>
      </c>
      <c r="I180" s="9">
        <f>Setup!$B$8</f>
        <v/>
      </c>
      <c r="J180" s="9">
        <f>IF(H180="","",ROUND(H180*I180,2))</f>
        <v/>
      </c>
      <c r="K180" s="9" t="n"/>
      <c r="L180" s="9">
        <f>IF(AND(J180="",K180=""),"",N(J180)+N(K180))</f>
        <v/>
      </c>
      <c r="M180" s="3" t="n"/>
      <c r="N180" s="3" t="n"/>
      <c r="O180" s="3" t="n"/>
    </row>
    <row r="181">
      <c r="A181" s="7" t="n"/>
      <c r="B181" s="3" t="n"/>
      <c r="C181" s="3" t="n"/>
      <c r="D181" s="3" t="n"/>
      <c r="E181" s="8" t="n"/>
      <c r="F181" s="8" t="n"/>
      <c r="G181" s="3" t="n"/>
      <c r="H181" s="3">
        <f>IF(OR(E181="",F181=""),"",ROUND(MOD(F181-E181,1)*24-N(G181)/60,2))</f>
        <v/>
      </c>
      <c r="I181" s="9">
        <f>Setup!$B$8</f>
        <v/>
      </c>
      <c r="J181" s="9">
        <f>IF(H181="","",ROUND(H181*I181,2))</f>
        <v/>
      </c>
      <c r="K181" s="9" t="n"/>
      <c r="L181" s="9">
        <f>IF(AND(J181="",K181=""),"",N(J181)+N(K181))</f>
        <v/>
      </c>
      <c r="M181" s="3" t="n"/>
      <c r="N181" s="3" t="n"/>
      <c r="O181" s="3" t="n"/>
    </row>
    <row r="182">
      <c r="A182" s="7" t="n"/>
      <c r="B182" s="3" t="n"/>
      <c r="C182" s="3" t="n"/>
      <c r="D182" s="3" t="n"/>
      <c r="E182" s="8" t="n"/>
      <c r="F182" s="8" t="n"/>
      <c r="G182" s="3" t="n"/>
      <c r="H182" s="3">
        <f>IF(OR(E182="",F182=""),"",ROUND(MOD(F182-E182,1)*24-N(G182)/60,2))</f>
        <v/>
      </c>
      <c r="I182" s="9">
        <f>Setup!$B$8</f>
        <v/>
      </c>
      <c r="J182" s="9">
        <f>IF(H182="","",ROUND(H182*I182,2))</f>
        <v/>
      </c>
      <c r="K182" s="9" t="n"/>
      <c r="L182" s="9">
        <f>IF(AND(J182="",K182=""),"",N(J182)+N(K182))</f>
        <v/>
      </c>
      <c r="M182" s="3" t="n"/>
      <c r="N182" s="3" t="n"/>
      <c r="O182" s="3" t="n"/>
    </row>
    <row r="183">
      <c r="A183" s="7" t="n"/>
      <c r="B183" s="3" t="n"/>
      <c r="C183" s="3" t="n"/>
      <c r="D183" s="3" t="n"/>
      <c r="E183" s="8" t="n"/>
      <c r="F183" s="8" t="n"/>
      <c r="G183" s="3" t="n"/>
      <c r="H183" s="3">
        <f>IF(OR(E183="",F183=""),"",ROUND(MOD(F183-E183,1)*24-N(G183)/60,2))</f>
        <v/>
      </c>
      <c r="I183" s="9">
        <f>Setup!$B$8</f>
        <v/>
      </c>
      <c r="J183" s="9">
        <f>IF(H183="","",ROUND(H183*I183,2))</f>
        <v/>
      </c>
      <c r="K183" s="9" t="n"/>
      <c r="L183" s="9">
        <f>IF(AND(J183="",K183=""),"",N(J183)+N(K183))</f>
        <v/>
      </c>
      <c r="M183" s="3" t="n"/>
      <c r="N183" s="3" t="n"/>
      <c r="O183" s="3" t="n"/>
    </row>
    <row r="184">
      <c r="A184" s="7" t="n"/>
      <c r="B184" s="3" t="n"/>
      <c r="C184" s="3" t="n"/>
      <c r="D184" s="3" t="n"/>
      <c r="E184" s="8" t="n"/>
      <c r="F184" s="8" t="n"/>
      <c r="G184" s="3" t="n"/>
      <c r="H184" s="3">
        <f>IF(OR(E184="",F184=""),"",ROUND(MOD(F184-E184,1)*24-N(G184)/60,2))</f>
        <v/>
      </c>
      <c r="I184" s="9">
        <f>Setup!$B$8</f>
        <v/>
      </c>
      <c r="J184" s="9">
        <f>IF(H184="","",ROUND(H184*I184,2))</f>
        <v/>
      </c>
      <c r="K184" s="9" t="n"/>
      <c r="L184" s="9">
        <f>IF(AND(J184="",K184=""),"",N(J184)+N(K184))</f>
        <v/>
      </c>
      <c r="M184" s="3" t="n"/>
      <c r="N184" s="3" t="n"/>
      <c r="O184" s="3" t="n"/>
    </row>
    <row r="185">
      <c r="A185" s="7" t="n"/>
      <c r="B185" s="3" t="n"/>
      <c r="C185" s="3" t="n"/>
      <c r="D185" s="3" t="n"/>
      <c r="E185" s="8" t="n"/>
      <c r="F185" s="8" t="n"/>
      <c r="G185" s="3" t="n"/>
      <c r="H185" s="3">
        <f>IF(OR(E185="",F185=""),"",ROUND(MOD(F185-E185,1)*24-N(G185)/60,2))</f>
        <v/>
      </c>
      <c r="I185" s="9">
        <f>Setup!$B$8</f>
        <v/>
      </c>
      <c r="J185" s="9">
        <f>IF(H185="","",ROUND(H185*I185,2))</f>
        <v/>
      </c>
      <c r="K185" s="9" t="n"/>
      <c r="L185" s="9">
        <f>IF(AND(J185="",K185=""),"",N(J185)+N(K185))</f>
        <v/>
      </c>
      <c r="M185" s="3" t="n"/>
      <c r="N185" s="3" t="n"/>
      <c r="O185" s="3" t="n"/>
    </row>
    <row r="186">
      <c r="A186" s="7" t="n"/>
      <c r="B186" s="3" t="n"/>
      <c r="C186" s="3" t="n"/>
      <c r="D186" s="3" t="n"/>
      <c r="E186" s="8" t="n"/>
      <c r="F186" s="8" t="n"/>
      <c r="G186" s="3" t="n"/>
      <c r="H186" s="3">
        <f>IF(OR(E186="",F186=""),"",ROUND(MOD(F186-E186,1)*24-N(G186)/60,2))</f>
        <v/>
      </c>
      <c r="I186" s="9">
        <f>Setup!$B$8</f>
        <v/>
      </c>
      <c r="J186" s="9">
        <f>IF(H186="","",ROUND(H186*I186,2))</f>
        <v/>
      </c>
      <c r="K186" s="9" t="n"/>
      <c r="L186" s="9">
        <f>IF(AND(J186="",K186=""),"",N(J186)+N(K186))</f>
        <v/>
      </c>
      <c r="M186" s="3" t="n"/>
      <c r="N186" s="3" t="n"/>
      <c r="O186" s="3" t="n"/>
    </row>
    <row r="187">
      <c r="A187" s="7" t="n"/>
      <c r="B187" s="3" t="n"/>
      <c r="C187" s="3" t="n"/>
      <c r="D187" s="3" t="n"/>
      <c r="E187" s="8" t="n"/>
      <c r="F187" s="8" t="n"/>
      <c r="G187" s="3" t="n"/>
      <c r="H187" s="3">
        <f>IF(OR(E187="",F187=""),"",ROUND(MOD(F187-E187,1)*24-N(G187)/60,2))</f>
        <v/>
      </c>
      <c r="I187" s="9">
        <f>Setup!$B$8</f>
        <v/>
      </c>
      <c r="J187" s="9">
        <f>IF(H187="","",ROUND(H187*I187,2))</f>
        <v/>
      </c>
      <c r="K187" s="9" t="n"/>
      <c r="L187" s="9">
        <f>IF(AND(J187="",K187=""),"",N(J187)+N(K187))</f>
        <v/>
      </c>
      <c r="M187" s="3" t="n"/>
      <c r="N187" s="3" t="n"/>
      <c r="O187" s="3" t="n"/>
    </row>
    <row r="188">
      <c r="A188" s="7" t="n"/>
      <c r="B188" s="3" t="n"/>
      <c r="C188" s="3" t="n"/>
      <c r="D188" s="3" t="n"/>
      <c r="E188" s="8" t="n"/>
      <c r="F188" s="8" t="n"/>
      <c r="G188" s="3" t="n"/>
      <c r="H188" s="3">
        <f>IF(OR(E188="",F188=""),"",ROUND(MOD(F188-E188,1)*24-N(G188)/60,2))</f>
        <v/>
      </c>
      <c r="I188" s="9">
        <f>Setup!$B$8</f>
        <v/>
      </c>
      <c r="J188" s="9">
        <f>IF(H188="","",ROUND(H188*I188,2))</f>
        <v/>
      </c>
      <c r="K188" s="9" t="n"/>
      <c r="L188" s="9">
        <f>IF(AND(J188="",K188=""),"",N(J188)+N(K188))</f>
        <v/>
      </c>
      <c r="M188" s="3" t="n"/>
      <c r="N188" s="3" t="n"/>
      <c r="O188" s="3" t="n"/>
    </row>
    <row r="189">
      <c r="A189" s="7" t="n"/>
      <c r="B189" s="3" t="n"/>
      <c r="C189" s="3" t="n"/>
      <c r="D189" s="3" t="n"/>
      <c r="E189" s="8" t="n"/>
      <c r="F189" s="8" t="n"/>
      <c r="G189" s="3" t="n"/>
      <c r="H189" s="3">
        <f>IF(OR(E189="",F189=""),"",ROUND(MOD(F189-E189,1)*24-N(G189)/60,2))</f>
        <v/>
      </c>
      <c r="I189" s="9">
        <f>Setup!$B$8</f>
        <v/>
      </c>
      <c r="J189" s="9">
        <f>IF(H189="","",ROUND(H189*I189,2))</f>
        <v/>
      </c>
      <c r="K189" s="9" t="n"/>
      <c r="L189" s="9">
        <f>IF(AND(J189="",K189=""),"",N(J189)+N(K189))</f>
        <v/>
      </c>
      <c r="M189" s="3" t="n"/>
      <c r="N189" s="3" t="n"/>
      <c r="O189" s="3" t="n"/>
    </row>
    <row r="190">
      <c r="A190" s="7" t="n"/>
      <c r="B190" s="3" t="n"/>
      <c r="C190" s="3" t="n"/>
      <c r="D190" s="3" t="n"/>
      <c r="E190" s="8" t="n"/>
      <c r="F190" s="8" t="n"/>
      <c r="G190" s="3" t="n"/>
      <c r="H190" s="3">
        <f>IF(OR(E190="",F190=""),"",ROUND(MOD(F190-E190,1)*24-N(G190)/60,2))</f>
        <v/>
      </c>
      <c r="I190" s="9">
        <f>Setup!$B$8</f>
        <v/>
      </c>
      <c r="J190" s="9">
        <f>IF(H190="","",ROUND(H190*I190,2))</f>
        <v/>
      </c>
      <c r="K190" s="9" t="n"/>
      <c r="L190" s="9">
        <f>IF(AND(J190="",K190=""),"",N(J190)+N(K190))</f>
        <v/>
      </c>
      <c r="M190" s="3" t="n"/>
      <c r="N190" s="3" t="n"/>
      <c r="O190" s="3" t="n"/>
    </row>
    <row r="191">
      <c r="A191" s="7" t="n"/>
      <c r="B191" s="3" t="n"/>
      <c r="C191" s="3" t="n"/>
      <c r="D191" s="3" t="n"/>
      <c r="E191" s="8" t="n"/>
      <c r="F191" s="8" t="n"/>
      <c r="G191" s="3" t="n"/>
      <c r="H191" s="3">
        <f>IF(OR(E191="",F191=""),"",ROUND(MOD(F191-E191,1)*24-N(G191)/60,2))</f>
        <v/>
      </c>
      <c r="I191" s="9">
        <f>Setup!$B$8</f>
        <v/>
      </c>
      <c r="J191" s="9">
        <f>IF(H191="","",ROUND(H191*I191,2))</f>
        <v/>
      </c>
      <c r="K191" s="9" t="n"/>
      <c r="L191" s="9">
        <f>IF(AND(J191="",K191=""),"",N(J191)+N(K191))</f>
        <v/>
      </c>
      <c r="M191" s="3" t="n"/>
      <c r="N191" s="3" t="n"/>
      <c r="O191" s="3" t="n"/>
    </row>
    <row r="192">
      <c r="A192" s="7" t="n"/>
      <c r="B192" s="3" t="n"/>
      <c r="C192" s="3" t="n"/>
      <c r="D192" s="3" t="n"/>
      <c r="E192" s="8" t="n"/>
      <c r="F192" s="8" t="n"/>
      <c r="G192" s="3" t="n"/>
      <c r="H192" s="3">
        <f>IF(OR(E192="",F192=""),"",ROUND(MOD(F192-E192,1)*24-N(G192)/60,2))</f>
        <v/>
      </c>
      <c r="I192" s="9">
        <f>Setup!$B$8</f>
        <v/>
      </c>
      <c r="J192" s="9">
        <f>IF(H192="","",ROUND(H192*I192,2))</f>
        <v/>
      </c>
      <c r="K192" s="9" t="n"/>
      <c r="L192" s="9">
        <f>IF(AND(J192="",K192=""),"",N(J192)+N(K192))</f>
        <v/>
      </c>
      <c r="M192" s="3" t="n"/>
      <c r="N192" s="3" t="n"/>
      <c r="O192" s="3" t="n"/>
    </row>
    <row r="193">
      <c r="A193" s="7" t="n"/>
      <c r="B193" s="3" t="n"/>
      <c r="C193" s="3" t="n"/>
      <c r="D193" s="3" t="n"/>
      <c r="E193" s="8" t="n"/>
      <c r="F193" s="8" t="n"/>
      <c r="G193" s="3" t="n"/>
      <c r="H193" s="3">
        <f>IF(OR(E193="",F193=""),"",ROUND(MOD(F193-E193,1)*24-N(G193)/60,2))</f>
        <v/>
      </c>
      <c r="I193" s="9">
        <f>Setup!$B$8</f>
        <v/>
      </c>
      <c r="J193" s="9">
        <f>IF(H193="","",ROUND(H193*I193,2))</f>
        <v/>
      </c>
      <c r="K193" s="9" t="n"/>
      <c r="L193" s="9">
        <f>IF(AND(J193="",K193=""),"",N(J193)+N(K193))</f>
        <v/>
      </c>
      <c r="M193" s="3" t="n"/>
      <c r="N193" s="3" t="n"/>
      <c r="O193" s="3" t="n"/>
    </row>
    <row r="194">
      <c r="A194" s="7" t="n"/>
      <c r="B194" s="3" t="n"/>
      <c r="C194" s="3" t="n"/>
      <c r="D194" s="3" t="n"/>
      <c r="E194" s="8" t="n"/>
      <c r="F194" s="8" t="n"/>
      <c r="G194" s="3" t="n"/>
      <c r="H194" s="3">
        <f>IF(OR(E194="",F194=""),"",ROUND(MOD(F194-E194,1)*24-N(G194)/60,2))</f>
        <v/>
      </c>
      <c r="I194" s="9">
        <f>Setup!$B$8</f>
        <v/>
      </c>
      <c r="J194" s="9">
        <f>IF(H194="","",ROUND(H194*I194,2))</f>
        <v/>
      </c>
      <c r="K194" s="9" t="n"/>
      <c r="L194" s="9">
        <f>IF(AND(J194="",K194=""),"",N(J194)+N(K194))</f>
        <v/>
      </c>
      <c r="M194" s="3" t="n"/>
      <c r="N194" s="3" t="n"/>
      <c r="O194" s="3" t="n"/>
    </row>
    <row r="195">
      <c r="A195" s="7" t="n"/>
      <c r="B195" s="3" t="n"/>
      <c r="C195" s="3" t="n"/>
      <c r="D195" s="3" t="n"/>
      <c r="E195" s="8" t="n"/>
      <c r="F195" s="8" t="n"/>
      <c r="G195" s="3" t="n"/>
      <c r="H195" s="3">
        <f>IF(OR(E195="",F195=""),"",ROUND(MOD(F195-E195,1)*24-N(G195)/60,2))</f>
        <v/>
      </c>
      <c r="I195" s="9">
        <f>Setup!$B$8</f>
        <v/>
      </c>
      <c r="J195" s="9">
        <f>IF(H195="","",ROUND(H195*I195,2))</f>
        <v/>
      </c>
      <c r="K195" s="9" t="n"/>
      <c r="L195" s="9">
        <f>IF(AND(J195="",K195=""),"",N(J195)+N(K195))</f>
        <v/>
      </c>
      <c r="M195" s="3" t="n"/>
      <c r="N195" s="3" t="n"/>
      <c r="O195" s="3" t="n"/>
    </row>
    <row r="196">
      <c r="A196" s="7" t="n"/>
      <c r="B196" s="3" t="n"/>
      <c r="C196" s="3" t="n"/>
      <c r="D196" s="3" t="n"/>
      <c r="E196" s="8" t="n"/>
      <c r="F196" s="8" t="n"/>
      <c r="G196" s="3" t="n"/>
      <c r="H196" s="3">
        <f>IF(OR(E196="",F196=""),"",ROUND(MOD(F196-E196,1)*24-N(G196)/60,2))</f>
        <v/>
      </c>
      <c r="I196" s="9">
        <f>Setup!$B$8</f>
        <v/>
      </c>
      <c r="J196" s="9">
        <f>IF(H196="","",ROUND(H196*I196,2))</f>
        <v/>
      </c>
      <c r="K196" s="9" t="n"/>
      <c r="L196" s="9">
        <f>IF(AND(J196="",K196=""),"",N(J196)+N(K196))</f>
        <v/>
      </c>
      <c r="M196" s="3" t="n"/>
      <c r="N196" s="3" t="n"/>
      <c r="O196" s="3" t="n"/>
    </row>
    <row r="197">
      <c r="A197" s="7" t="n"/>
      <c r="B197" s="3" t="n"/>
      <c r="C197" s="3" t="n"/>
      <c r="D197" s="3" t="n"/>
      <c r="E197" s="8" t="n"/>
      <c r="F197" s="8" t="n"/>
      <c r="G197" s="3" t="n"/>
      <c r="H197" s="3">
        <f>IF(OR(E197="",F197=""),"",ROUND(MOD(F197-E197,1)*24-N(G197)/60,2))</f>
        <v/>
      </c>
      <c r="I197" s="9">
        <f>Setup!$B$8</f>
        <v/>
      </c>
      <c r="J197" s="9">
        <f>IF(H197="","",ROUND(H197*I197,2))</f>
        <v/>
      </c>
      <c r="K197" s="9" t="n"/>
      <c r="L197" s="9">
        <f>IF(AND(J197="",K197=""),"",N(J197)+N(K197))</f>
        <v/>
      </c>
      <c r="M197" s="3" t="n"/>
      <c r="N197" s="3" t="n"/>
      <c r="O197" s="3" t="n"/>
    </row>
    <row r="198">
      <c r="A198" s="7" t="n"/>
      <c r="B198" s="3" t="n"/>
      <c r="C198" s="3" t="n"/>
      <c r="D198" s="3" t="n"/>
      <c r="E198" s="8" t="n"/>
      <c r="F198" s="8" t="n"/>
      <c r="G198" s="3" t="n"/>
      <c r="H198" s="3">
        <f>IF(OR(E198="",F198=""),"",ROUND(MOD(F198-E198,1)*24-N(G198)/60,2))</f>
        <v/>
      </c>
      <c r="I198" s="9">
        <f>Setup!$B$8</f>
        <v/>
      </c>
      <c r="J198" s="9">
        <f>IF(H198="","",ROUND(H198*I198,2))</f>
        <v/>
      </c>
      <c r="K198" s="9" t="n"/>
      <c r="L198" s="9">
        <f>IF(AND(J198="",K198=""),"",N(J198)+N(K198))</f>
        <v/>
      </c>
      <c r="M198" s="3" t="n"/>
      <c r="N198" s="3" t="n"/>
      <c r="O198" s="3" t="n"/>
    </row>
    <row r="199">
      <c r="A199" s="7" t="n"/>
      <c r="B199" s="3" t="n"/>
      <c r="C199" s="3" t="n"/>
      <c r="D199" s="3" t="n"/>
      <c r="E199" s="8" t="n"/>
      <c r="F199" s="8" t="n"/>
      <c r="G199" s="3" t="n"/>
      <c r="H199" s="3">
        <f>IF(OR(E199="",F199=""),"",ROUND(MOD(F199-E199,1)*24-N(G199)/60,2))</f>
        <v/>
      </c>
      <c r="I199" s="9">
        <f>Setup!$B$8</f>
        <v/>
      </c>
      <c r="J199" s="9">
        <f>IF(H199="","",ROUND(H199*I199,2))</f>
        <v/>
      </c>
      <c r="K199" s="9" t="n"/>
      <c r="L199" s="9">
        <f>IF(AND(J199="",K199=""),"",N(J199)+N(K199))</f>
        <v/>
      </c>
      <c r="M199" s="3" t="n"/>
      <c r="N199" s="3" t="n"/>
      <c r="O199" s="3" t="n"/>
    </row>
    <row r="200">
      <c r="A200" s="7" t="n"/>
      <c r="B200" s="3" t="n"/>
      <c r="C200" s="3" t="n"/>
      <c r="D200" s="3" t="n"/>
      <c r="E200" s="8" t="n"/>
      <c r="F200" s="8" t="n"/>
      <c r="G200" s="3" t="n"/>
      <c r="H200" s="3">
        <f>IF(OR(E200="",F200=""),"",ROUND(MOD(F200-E200,1)*24-N(G200)/60,2))</f>
        <v/>
      </c>
      <c r="I200" s="9">
        <f>Setup!$B$8</f>
        <v/>
      </c>
      <c r="J200" s="9">
        <f>IF(H200="","",ROUND(H200*I200,2))</f>
        <v/>
      </c>
      <c r="K200" s="9" t="n"/>
      <c r="L200" s="9">
        <f>IF(AND(J200="",K200=""),"",N(J200)+N(K200))</f>
        <v/>
      </c>
      <c r="M200" s="3" t="n"/>
      <c r="N200" s="3" t="n"/>
      <c r="O200" s="3" t="n"/>
    </row>
    <row r="201">
      <c r="A201" s="7" t="n"/>
      <c r="B201" s="3" t="n"/>
      <c r="C201" s="3" t="n"/>
      <c r="D201" s="3" t="n"/>
      <c r="E201" s="8" t="n"/>
      <c r="F201" s="8" t="n"/>
      <c r="G201" s="3" t="n"/>
      <c r="H201" s="3">
        <f>IF(OR(E201="",F201=""),"",ROUND(MOD(F201-E201,1)*24-N(G201)/60,2))</f>
        <v/>
      </c>
      <c r="I201" s="9">
        <f>Setup!$B$8</f>
        <v/>
      </c>
      <c r="J201" s="9">
        <f>IF(H201="","",ROUND(H201*I201,2))</f>
        <v/>
      </c>
      <c r="K201" s="9" t="n"/>
      <c r="L201" s="9">
        <f>IF(AND(J201="",K201=""),"",N(J201)+N(K201))</f>
        <v/>
      </c>
      <c r="M201" s="3" t="n"/>
      <c r="N201" s="3" t="n"/>
      <c r="O201" s="3" t="n"/>
    </row>
    <row r="202">
      <c r="A202" s="7" t="n"/>
      <c r="B202" s="3" t="n"/>
      <c r="C202" s="3" t="n"/>
      <c r="D202" s="3" t="n"/>
      <c r="E202" s="8" t="n"/>
      <c r="F202" s="8" t="n"/>
      <c r="G202" s="3" t="n"/>
      <c r="H202" s="3">
        <f>IF(OR(E202="",F202=""),"",ROUND(MOD(F202-E202,1)*24-N(G202)/60,2))</f>
        <v/>
      </c>
      <c r="I202" s="9">
        <f>Setup!$B$8</f>
        <v/>
      </c>
      <c r="J202" s="9">
        <f>IF(H202="","",ROUND(H202*I202,2))</f>
        <v/>
      </c>
      <c r="K202" s="9" t="n"/>
      <c r="L202" s="9">
        <f>IF(AND(J202="",K202=""),"",N(J202)+N(K202))</f>
        <v/>
      </c>
      <c r="M202" s="3" t="n"/>
      <c r="N202" s="3" t="n"/>
      <c r="O202" s="3" t="n"/>
    </row>
    <row r="203">
      <c r="A203" s="7" t="n"/>
      <c r="B203" s="3" t="n"/>
      <c r="C203" s="3" t="n"/>
      <c r="D203" s="3" t="n"/>
      <c r="E203" s="8" t="n"/>
      <c r="F203" s="8" t="n"/>
      <c r="G203" s="3" t="n"/>
      <c r="H203" s="3">
        <f>IF(OR(E203="",F203=""),"",ROUND(MOD(F203-E203,1)*24-N(G203)/60,2))</f>
        <v/>
      </c>
      <c r="I203" s="9">
        <f>Setup!$B$8</f>
        <v/>
      </c>
      <c r="J203" s="9">
        <f>IF(H203="","",ROUND(H203*I203,2))</f>
        <v/>
      </c>
      <c r="K203" s="9" t="n"/>
      <c r="L203" s="9">
        <f>IF(AND(J203="",K203=""),"",N(J203)+N(K203))</f>
        <v/>
      </c>
      <c r="M203" s="3" t="n"/>
      <c r="N203" s="3" t="n"/>
      <c r="O203" s="3" t="n"/>
    </row>
    <row r="204">
      <c r="A204" s="7" t="n"/>
      <c r="B204" s="3" t="n"/>
      <c r="C204" s="3" t="n"/>
      <c r="D204" s="3" t="n"/>
      <c r="E204" s="8" t="n"/>
      <c r="F204" s="8" t="n"/>
      <c r="G204" s="3" t="n"/>
      <c r="H204" s="3">
        <f>IF(OR(E204="",F204=""),"",ROUND(MOD(F204-E204,1)*24-N(G204)/60,2))</f>
        <v/>
      </c>
      <c r="I204" s="9">
        <f>Setup!$B$8</f>
        <v/>
      </c>
      <c r="J204" s="9">
        <f>IF(H204="","",ROUND(H204*I204,2))</f>
        <v/>
      </c>
      <c r="K204" s="9" t="n"/>
      <c r="L204" s="9">
        <f>IF(AND(J204="",K204=""),"",N(J204)+N(K204))</f>
        <v/>
      </c>
      <c r="M204" s="3" t="n"/>
      <c r="N204" s="3" t="n"/>
      <c r="O204" s="3" t="n"/>
    </row>
  </sheetData>
  <dataValidations count="1">
    <dataValidation sqref="E5:F204" showDropDown="0" showInputMessage="0" showErrorMessage="0" allowBlank="0" type="time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SUMMARY BY CHARGE</t>
        </is>
      </c>
    </row>
    <row r="3">
      <c r="A3" s="10" t="inlineStr">
        <is>
          <t>Charge To</t>
        </is>
      </c>
      <c r="B3" s="10" t="inlineStr">
        <is>
          <t>Hours</t>
        </is>
      </c>
      <c r="C3" s="10" t="inlineStr">
        <is>
          <t>Labour (excl GST)</t>
        </is>
      </c>
      <c r="D3" s="10" t="inlineStr">
        <is>
          <t>Materials / Plant (excl GST)</t>
        </is>
      </c>
      <c r="E3" s="10" t="inlineStr">
        <is>
          <t>Total (excl GST)</t>
        </is>
      </c>
      <c r="F3" s="10" t="inlineStr">
        <is>
          <t>GST</t>
        </is>
      </c>
      <c r="G3" s="10" t="inlineStr">
        <is>
          <t>Total (incl GST)</t>
        </is>
      </c>
    </row>
    <row r="4">
      <c r="A4" s="3" t="n"/>
      <c r="B4" s="3">
        <f>IF(A4="","",SUMIF(Dockets!$N$5:$N$204,A4,Dockets!$H$5:$H$204))</f>
        <v/>
      </c>
      <c r="C4" s="9">
        <f>IF(A4="","",SUMIF(Dockets!$N$5:$N$204,A4,Dockets!$J$5:$J$204))</f>
        <v/>
      </c>
      <c r="D4" s="9">
        <f>IF(A4="","",SUMIF(Dockets!$N$5:$N$204,A4,Dockets!$K$5:$K$204))</f>
        <v/>
      </c>
      <c r="E4" s="9">
        <f>IF(A4="","",C4+D4)</f>
        <v/>
      </c>
      <c r="F4" s="9">
        <f>IF(A4="","",ROUND(E4*0.1,2))</f>
        <v/>
      </c>
      <c r="G4" s="9">
        <f>IF(A4="","",E4+F4)</f>
        <v/>
      </c>
    </row>
    <row r="5">
      <c r="A5" s="3" t="n"/>
      <c r="B5" s="3">
        <f>IF(A5="","",SUMIF(Dockets!$N$5:$N$204,A5,Dockets!$H$5:$H$204))</f>
        <v/>
      </c>
      <c r="C5" s="9">
        <f>IF(A5="","",SUMIF(Dockets!$N$5:$N$204,A5,Dockets!$J$5:$J$204))</f>
        <v/>
      </c>
      <c r="D5" s="9">
        <f>IF(A5="","",SUMIF(Dockets!$N$5:$N$204,A5,Dockets!$K$5:$K$204))</f>
        <v/>
      </c>
      <c r="E5" s="9">
        <f>IF(A5="","",C5+D5)</f>
        <v/>
      </c>
      <c r="F5" s="9">
        <f>IF(A5="","",ROUND(E5*0.1,2))</f>
        <v/>
      </c>
      <c r="G5" s="9">
        <f>IF(A5="","",E5+F5)</f>
        <v/>
      </c>
    </row>
    <row r="6">
      <c r="A6" s="3" t="n"/>
      <c r="B6" s="3">
        <f>IF(A6="","",SUMIF(Dockets!$N$5:$N$204,A6,Dockets!$H$5:$H$204))</f>
        <v/>
      </c>
      <c r="C6" s="9">
        <f>IF(A6="","",SUMIF(Dockets!$N$5:$N$204,A6,Dockets!$J$5:$J$204))</f>
        <v/>
      </c>
      <c r="D6" s="9">
        <f>IF(A6="","",SUMIF(Dockets!$N$5:$N$204,A6,Dockets!$K$5:$K$204))</f>
        <v/>
      </c>
      <c r="E6" s="9">
        <f>IF(A6="","",C6+D6)</f>
        <v/>
      </c>
      <c r="F6" s="9">
        <f>IF(A6="","",ROUND(E6*0.1,2))</f>
        <v/>
      </c>
      <c r="G6" s="9">
        <f>IF(A6="","",E6+F6)</f>
        <v/>
      </c>
    </row>
    <row r="7">
      <c r="A7" s="3" t="n"/>
      <c r="B7" s="3">
        <f>IF(A7="","",SUMIF(Dockets!$N$5:$N$204,A7,Dockets!$H$5:$H$204))</f>
        <v/>
      </c>
      <c r="C7" s="9">
        <f>IF(A7="","",SUMIF(Dockets!$N$5:$N$204,A7,Dockets!$J$5:$J$204))</f>
        <v/>
      </c>
      <c r="D7" s="9">
        <f>IF(A7="","",SUMIF(Dockets!$N$5:$N$204,A7,Dockets!$K$5:$K$204))</f>
        <v/>
      </c>
      <c r="E7" s="9">
        <f>IF(A7="","",C7+D7)</f>
        <v/>
      </c>
      <c r="F7" s="9">
        <f>IF(A7="","",ROUND(E7*0.1,2))</f>
        <v/>
      </c>
      <c r="G7" s="9">
        <f>IF(A7="","",E7+F7)</f>
        <v/>
      </c>
    </row>
    <row r="8">
      <c r="A8" s="3" t="n"/>
      <c r="B8" s="3">
        <f>IF(A8="","",SUMIF(Dockets!$N$5:$N$204,A8,Dockets!$H$5:$H$204))</f>
        <v/>
      </c>
      <c r="C8" s="9">
        <f>IF(A8="","",SUMIF(Dockets!$N$5:$N$204,A8,Dockets!$J$5:$J$204))</f>
        <v/>
      </c>
      <c r="D8" s="9">
        <f>IF(A8="","",SUMIF(Dockets!$N$5:$N$204,A8,Dockets!$K$5:$K$204))</f>
        <v/>
      </c>
      <c r="E8" s="9">
        <f>IF(A8="","",C8+D8)</f>
        <v/>
      </c>
      <c r="F8" s="9">
        <f>IF(A8="","",ROUND(E8*0.1,2))</f>
        <v/>
      </c>
      <c r="G8" s="9">
        <f>IF(A8="","",E8+F8)</f>
        <v/>
      </c>
    </row>
    <row r="9">
      <c r="A9" s="3" t="n"/>
      <c r="B9" s="3">
        <f>IF(A9="","",SUMIF(Dockets!$N$5:$N$204,A9,Dockets!$H$5:$H$204))</f>
        <v/>
      </c>
      <c r="C9" s="9">
        <f>IF(A9="","",SUMIF(Dockets!$N$5:$N$204,A9,Dockets!$J$5:$J$204))</f>
        <v/>
      </c>
      <c r="D9" s="9">
        <f>IF(A9="","",SUMIF(Dockets!$N$5:$N$204,A9,Dockets!$K$5:$K$204))</f>
        <v/>
      </c>
      <c r="E9" s="9">
        <f>IF(A9="","",C9+D9)</f>
        <v/>
      </c>
      <c r="F9" s="9">
        <f>IF(A9="","",ROUND(E9*0.1,2))</f>
        <v/>
      </c>
      <c r="G9" s="9">
        <f>IF(A9="","",E9+F9)</f>
        <v/>
      </c>
    </row>
    <row r="10">
      <c r="A10" s="3" t="n"/>
      <c r="B10" s="3">
        <f>IF(A10="","",SUMIF(Dockets!$N$5:$N$204,A10,Dockets!$H$5:$H$204))</f>
        <v/>
      </c>
      <c r="C10" s="9">
        <f>IF(A10="","",SUMIF(Dockets!$N$5:$N$204,A10,Dockets!$J$5:$J$204))</f>
        <v/>
      </c>
      <c r="D10" s="9">
        <f>IF(A10="","",SUMIF(Dockets!$N$5:$N$204,A10,Dockets!$K$5:$K$204))</f>
        <v/>
      </c>
      <c r="E10" s="9">
        <f>IF(A10="","",C10+D10)</f>
        <v/>
      </c>
      <c r="F10" s="9">
        <f>IF(A10="","",ROUND(E10*0.1,2))</f>
        <v/>
      </c>
      <c r="G10" s="9">
        <f>IF(A10="","",E10+F10)</f>
        <v/>
      </c>
    </row>
    <row r="11">
      <c r="A11" s="3" t="n"/>
      <c r="B11" s="3">
        <f>IF(A11="","",SUMIF(Dockets!$N$5:$N$204,A11,Dockets!$H$5:$H$204))</f>
        <v/>
      </c>
      <c r="C11" s="9">
        <f>IF(A11="","",SUMIF(Dockets!$N$5:$N$204,A11,Dockets!$J$5:$J$204))</f>
        <v/>
      </c>
      <c r="D11" s="9">
        <f>IF(A11="","",SUMIF(Dockets!$N$5:$N$204,A11,Dockets!$K$5:$K$204))</f>
        <v/>
      </c>
      <c r="E11" s="9">
        <f>IF(A11="","",C11+D11)</f>
        <v/>
      </c>
      <c r="F11" s="9">
        <f>IF(A11="","",ROUND(E11*0.1,2))</f>
        <v/>
      </c>
      <c r="G11" s="9">
        <f>IF(A11="","",E11+F11)</f>
        <v/>
      </c>
    </row>
    <row r="12">
      <c r="A12" s="3" t="n"/>
      <c r="B12" s="3">
        <f>IF(A12="","",SUMIF(Dockets!$N$5:$N$204,A12,Dockets!$H$5:$H$204))</f>
        <v/>
      </c>
      <c r="C12" s="9">
        <f>IF(A12="","",SUMIF(Dockets!$N$5:$N$204,A12,Dockets!$J$5:$J$204))</f>
        <v/>
      </c>
      <c r="D12" s="9">
        <f>IF(A12="","",SUMIF(Dockets!$N$5:$N$204,A12,Dockets!$K$5:$K$204))</f>
        <v/>
      </c>
      <c r="E12" s="9">
        <f>IF(A12="","",C12+D12)</f>
        <v/>
      </c>
      <c r="F12" s="9">
        <f>IF(A12="","",ROUND(E12*0.1,2))</f>
        <v/>
      </c>
      <c r="G12" s="9">
        <f>IF(A12="","",E12+F12)</f>
        <v/>
      </c>
    </row>
    <row r="13">
      <c r="A13" s="3" t="n"/>
      <c r="B13" s="3">
        <f>IF(A13="","",SUMIF(Dockets!$N$5:$N$204,A13,Dockets!$H$5:$H$204))</f>
        <v/>
      </c>
      <c r="C13" s="9">
        <f>IF(A13="","",SUMIF(Dockets!$N$5:$N$204,A13,Dockets!$J$5:$J$204))</f>
        <v/>
      </c>
      <c r="D13" s="9">
        <f>IF(A13="","",SUMIF(Dockets!$N$5:$N$204,A13,Dockets!$K$5:$K$204))</f>
        <v/>
      </c>
      <c r="E13" s="9">
        <f>IF(A13="","",C13+D13)</f>
        <v/>
      </c>
      <c r="F13" s="9">
        <f>IF(A13="","",ROUND(E13*0.1,2))</f>
        <v/>
      </c>
      <c r="G13" s="9">
        <f>IF(A13="","",E13+F13)</f>
        <v/>
      </c>
    </row>
    <row r="14">
      <c r="A14" s="3" t="n"/>
      <c r="B14" s="3">
        <f>IF(A14="","",SUMIF(Dockets!$N$5:$N$204,A14,Dockets!$H$5:$H$204))</f>
        <v/>
      </c>
      <c r="C14" s="9">
        <f>IF(A14="","",SUMIF(Dockets!$N$5:$N$204,A14,Dockets!$J$5:$J$204))</f>
        <v/>
      </c>
      <c r="D14" s="9">
        <f>IF(A14="","",SUMIF(Dockets!$N$5:$N$204,A14,Dockets!$K$5:$K$204))</f>
        <v/>
      </c>
      <c r="E14" s="9">
        <f>IF(A14="","",C14+D14)</f>
        <v/>
      </c>
      <c r="F14" s="9">
        <f>IF(A14="","",ROUND(E14*0.1,2))</f>
        <v/>
      </c>
      <c r="G14" s="9">
        <f>IF(A14="","",E14+F14)</f>
        <v/>
      </c>
    </row>
    <row r="15">
      <c r="A15" s="3" t="n"/>
      <c r="B15" s="3">
        <f>IF(A15="","",SUMIF(Dockets!$N$5:$N$204,A15,Dockets!$H$5:$H$204))</f>
        <v/>
      </c>
      <c r="C15" s="9">
        <f>IF(A15="","",SUMIF(Dockets!$N$5:$N$204,A15,Dockets!$J$5:$J$204))</f>
        <v/>
      </c>
      <c r="D15" s="9">
        <f>IF(A15="","",SUMIF(Dockets!$N$5:$N$204,A15,Dockets!$K$5:$K$204))</f>
        <v/>
      </c>
      <c r="E15" s="9">
        <f>IF(A15="","",C15+D15)</f>
        <v/>
      </c>
      <c r="F15" s="9">
        <f>IF(A15="","",ROUND(E15*0.1,2))</f>
        <v/>
      </c>
      <c r="G15" s="9">
        <f>IF(A15="","",E15+F15)</f>
        <v/>
      </c>
    </row>
    <row r="16">
      <c r="A16" s="3" t="n"/>
      <c r="B16" s="3">
        <f>IF(A16="","",SUMIF(Dockets!$N$5:$N$204,A16,Dockets!$H$5:$H$204))</f>
        <v/>
      </c>
      <c r="C16" s="9">
        <f>IF(A16="","",SUMIF(Dockets!$N$5:$N$204,A16,Dockets!$J$5:$J$204))</f>
        <v/>
      </c>
      <c r="D16" s="9">
        <f>IF(A16="","",SUMIF(Dockets!$N$5:$N$204,A16,Dockets!$K$5:$K$204))</f>
        <v/>
      </c>
      <c r="E16" s="9">
        <f>IF(A16="","",C16+D16)</f>
        <v/>
      </c>
      <c r="F16" s="9">
        <f>IF(A16="","",ROUND(E16*0.1,2))</f>
        <v/>
      </c>
      <c r="G16" s="9">
        <f>IF(A16="","",E16+F16)</f>
        <v/>
      </c>
    </row>
    <row r="17">
      <c r="A17" s="3" t="n"/>
      <c r="B17" s="3">
        <f>IF(A17="","",SUMIF(Dockets!$N$5:$N$204,A17,Dockets!$H$5:$H$204))</f>
        <v/>
      </c>
      <c r="C17" s="9">
        <f>IF(A17="","",SUMIF(Dockets!$N$5:$N$204,A17,Dockets!$J$5:$J$204))</f>
        <v/>
      </c>
      <c r="D17" s="9">
        <f>IF(A17="","",SUMIF(Dockets!$N$5:$N$204,A17,Dockets!$K$5:$K$204))</f>
        <v/>
      </c>
      <c r="E17" s="9">
        <f>IF(A17="","",C17+D17)</f>
        <v/>
      </c>
      <c r="F17" s="9">
        <f>IF(A17="","",ROUND(E17*0.1,2))</f>
        <v/>
      </c>
      <c r="G17" s="9">
        <f>IF(A17="","",E17+F17)</f>
        <v/>
      </c>
    </row>
    <row r="18">
      <c r="A18" s="3" t="n"/>
      <c r="B18" s="3">
        <f>IF(A18="","",SUMIF(Dockets!$N$5:$N$204,A18,Dockets!$H$5:$H$204))</f>
        <v/>
      </c>
      <c r="C18" s="9">
        <f>IF(A18="","",SUMIF(Dockets!$N$5:$N$204,A18,Dockets!$J$5:$J$204))</f>
        <v/>
      </c>
      <c r="D18" s="9">
        <f>IF(A18="","",SUMIF(Dockets!$N$5:$N$204,A18,Dockets!$K$5:$K$204))</f>
        <v/>
      </c>
      <c r="E18" s="9">
        <f>IF(A18="","",C18+D18)</f>
        <v/>
      </c>
      <c r="F18" s="9">
        <f>IF(A18="","",ROUND(E18*0.1,2))</f>
        <v/>
      </c>
      <c r="G18" s="9">
        <f>IF(A18="","",E18+F18)</f>
        <v/>
      </c>
    </row>
    <row r="19">
      <c r="A19" s="3" t="n"/>
      <c r="B19" s="3">
        <f>IF(A19="","",SUMIF(Dockets!$N$5:$N$204,A19,Dockets!$H$5:$H$204))</f>
        <v/>
      </c>
      <c r="C19" s="9">
        <f>IF(A19="","",SUMIF(Dockets!$N$5:$N$204,A19,Dockets!$J$5:$J$204))</f>
        <v/>
      </c>
      <c r="D19" s="9">
        <f>IF(A19="","",SUMIF(Dockets!$N$5:$N$204,A19,Dockets!$K$5:$K$204))</f>
        <v/>
      </c>
      <c r="E19" s="9">
        <f>IF(A19="","",C19+D19)</f>
        <v/>
      </c>
      <c r="F19" s="9">
        <f>IF(A19="","",ROUND(E19*0.1,2))</f>
        <v/>
      </c>
      <c r="G19" s="9">
        <f>IF(A19="","",E19+F19)</f>
        <v/>
      </c>
    </row>
    <row r="20">
      <c r="A20" s="3" t="n"/>
      <c r="B20" s="3">
        <f>IF(A20="","",SUMIF(Dockets!$N$5:$N$204,A20,Dockets!$H$5:$H$204))</f>
        <v/>
      </c>
      <c r="C20" s="9">
        <f>IF(A20="","",SUMIF(Dockets!$N$5:$N$204,A20,Dockets!$J$5:$J$204))</f>
        <v/>
      </c>
      <c r="D20" s="9">
        <f>IF(A20="","",SUMIF(Dockets!$N$5:$N$204,A20,Dockets!$K$5:$K$204))</f>
        <v/>
      </c>
      <c r="E20" s="9">
        <f>IF(A20="","",C20+D20)</f>
        <v/>
      </c>
      <c r="F20" s="9">
        <f>IF(A20="","",ROUND(E20*0.1,2))</f>
        <v/>
      </c>
      <c r="G20" s="9">
        <f>IF(A20="","",E20+F20)</f>
        <v/>
      </c>
    </row>
    <row r="21">
      <c r="A21" s="3" t="n"/>
      <c r="B21" s="3">
        <f>IF(A21="","",SUMIF(Dockets!$N$5:$N$204,A21,Dockets!$H$5:$H$204))</f>
        <v/>
      </c>
      <c r="C21" s="9">
        <f>IF(A21="","",SUMIF(Dockets!$N$5:$N$204,A21,Dockets!$J$5:$J$204))</f>
        <v/>
      </c>
      <c r="D21" s="9">
        <f>IF(A21="","",SUMIF(Dockets!$N$5:$N$204,A21,Dockets!$K$5:$K$204))</f>
        <v/>
      </c>
      <c r="E21" s="9">
        <f>IF(A21="","",C21+D21)</f>
        <v/>
      </c>
      <c r="F21" s="9">
        <f>IF(A21="","",ROUND(E21*0.1,2))</f>
        <v/>
      </c>
      <c r="G21" s="9">
        <f>IF(A21="","",E21+F21)</f>
        <v/>
      </c>
    </row>
    <row r="22">
      <c r="A22" s="3" t="n"/>
      <c r="B22" s="3">
        <f>IF(A22="","",SUMIF(Dockets!$N$5:$N$204,A22,Dockets!$H$5:$H$204))</f>
        <v/>
      </c>
      <c r="C22" s="9">
        <f>IF(A22="","",SUMIF(Dockets!$N$5:$N$204,A22,Dockets!$J$5:$J$204))</f>
        <v/>
      </c>
      <c r="D22" s="9">
        <f>IF(A22="","",SUMIF(Dockets!$N$5:$N$204,A22,Dockets!$K$5:$K$204))</f>
        <v/>
      </c>
      <c r="E22" s="9">
        <f>IF(A22="","",C22+D22)</f>
        <v/>
      </c>
      <c r="F22" s="9">
        <f>IF(A22="","",ROUND(E22*0.1,2))</f>
        <v/>
      </c>
      <c r="G22" s="9">
        <f>IF(A22="","",E22+F22)</f>
        <v/>
      </c>
    </row>
    <row r="23">
      <c r="A23" s="3" t="n"/>
      <c r="B23" s="3">
        <f>IF(A23="","",SUMIF(Dockets!$N$5:$N$204,A23,Dockets!$H$5:$H$204))</f>
        <v/>
      </c>
      <c r="C23" s="9">
        <f>IF(A23="","",SUMIF(Dockets!$N$5:$N$204,A23,Dockets!$J$5:$J$204))</f>
        <v/>
      </c>
      <c r="D23" s="9">
        <f>IF(A23="","",SUMIF(Dockets!$N$5:$N$204,A23,Dockets!$K$5:$K$204))</f>
        <v/>
      </c>
      <c r="E23" s="9">
        <f>IF(A23="","",C23+D23)</f>
        <v/>
      </c>
      <c r="F23" s="9">
        <f>IF(A23="","",ROUND(E23*0.1,2))</f>
        <v/>
      </c>
      <c r="G23" s="9">
        <f>IF(A23="","",E23+F23)</f>
        <v/>
      </c>
    </row>
    <row r="25">
      <c r="A25" s="5" t="inlineStr">
        <is>
          <t>All dockets</t>
        </is>
      </c>
      <c r="B25">
        <f>SUM(Dockets!$H$5:$H$204)</f>
        <v/>
      </c>
      <c r="C25" s="11">
        <f>SUM(Dockets!$J$5:$J$204)</f>
        <v/>
      </c>
      <c r="D25" s="11">
        <f>SUM(Dockets!$K$5:$K$204)</f>
        <v/>
      </c>
      <c r="E25" s="11">
        <f>C25+D25</f>
        <v/>
      </c>
      <c r="F25" s="11">
        <f>ROUND(E25*0.1,2)</f>
        <v/>
      </c>
      <c r="G25" s="11">
        <f>E25+F25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HOW TO USE THIS WORKBOOK</t>
        </is>
      </c>
    </row>
    <row r="3">
      <c r="A3" s="12" t="inlineStr">
        <is>
          <t>STEP 1:</t>
        </is>
      </c>
      <c r="B3" s="13" t="inlineStr">
        <is>
          <t>Fill in Setup, including your default labour rate (ex GST). Override the rate on any line by typing over it.</t>
        </is>
      </c>
    </row>
    <row r="4">
      <c r="A4" s="12" t="inlineStr">
        <is>
          <t>STEP 2:</t>
        </is>
      </c>
      <c r="B4" s="13" t="inlineStr">
        <is>
          <t>Record one line per worker per day: start and finish times (hh:mm) and unpaid break minutes. Hours and labour calculate themselves.</t>
        </is>
      </c>
    </row>
    <row r="5">
      <c r="A5" s="12" t="inlineStr">
        <is>
          <t>STEP 3:</t>
        </is>
      </c>
      <c r="B5" s="13" t="inlineStr">
        <is>
          <t>Add materials or plant used for day work, ex GST.</t>
        </is>
      </c>
    </row>
    <row r="6">
      <c r="A6" s="12" t="inlineStr">
        <is>
          <t>STEP 4:</t>
        </is>
      </c>
      <c r="B6" s="13" t="inlineStr">
        <is>
          <t>In Charge To, put the contract number for contract work, or the variation number (VAR-001) for day work the client will pay for.</t>
        </is>
      </c>
    </row>
    <row r="7">
      <c r="A7" s="12" t="inlineStr">
        <is>
          <t>STEP 5:</t>
        </is>
      </c>
      <c r="B7" s="13" t="inlineStr">
        <is>
          <t>Get the client or supervisor to sign off each day work docket the day it happens. Unsigned dockets are hard to get paid.</t>
        </is>
      </c>
    </row>
    <row r="8">
      <c r="A8" s="12" t="inlineStr">
        <is>
          <t>STEP 6:</t>
        </is>
      </c>
      <c r="B8" s="13" t="inlineStr">
        <is>
          <t>On Summary, type each Charge To value once to total hours and cost; use the totals in your variation or invoice.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2026-10-16T23:13:49Z</dcterms:created>
  <dcterms:modified xmlns:dcterms="http://purl.org/dc/terms/" xmlns:xsi="http://www.w3.org/2001/XMLSchema-instance" xsi:type="dcterms:W3CDTF">2026-10-16T23:13:49Z</dcterms:modified>
</cp:coreProperties>
</file>