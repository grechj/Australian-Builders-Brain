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sheetId="1" state="visible" r:id="rId1"/>
    <sheet xmlns:r="http://schemas.openxmlformats.org/officeDocument/2006/relationships" name="Materials" sheetId="2" state="visible" r:id="rId2"/>
    <sheet xmlns:r="http://schemas.openxmlformats.org/officeDocument/2006/relationships" name="Summary" sheetId="3" state="visible" r:id="rId3"/>
    <sheet xmlns:r="http://schemas.openxmlformats.org/officeDocument/2006/relationships" name="Qualifications" sheetId="4" state="visible" r:id="rId4"/>
    <sheet xmlns:r="http://schemas.openxmlformats.org/officeDocument/2006/relationships" name="Instructions" sheetId="5" state="visible" r:id="rId5"/>
  </sheets>
  <definedNames/>
  <calcPr calcId="124519" fullCalcOnLoad="1"/>
</workbook>
</file>

<file path=xl/styles.xml><?xml version="1.0" encoding="utf-8"?>
<styleSheet xmlns="http://schemas.openxmlformats.org/spreadsheetml/2006/main">
  <numFmts count="3">
    <numFmt numFmtId="164" formatCode="dd/mm/yyyy"/>
    <numFmt numFmtId="165" formatCode="#,##0.##"/>
    <numFmt numFmtId="166" formatCode="$#,##0.00"/>
  </numFmts>
  <fonts count="9">
    <font>
      <name val="Calibri"/>
      <family val="2"/>
      <color theme="1"/>
      <sz val="11"/>
      <scheme val="minor"/>
    </font>
    <font>
      <name val="Arial"/>
      <b val="1"/>
      <color rgb="FFFFFFFF"/>
      <sz val="12"/>
    </font>
    <font>
      <name val="Arial"/>
      <i val="1"/>
      <sz val="9"/>
    </font>
    <font>
      <name val="Arial"/>
      <b val="1"/>
      <color rgb="FF003366"/>
      <sz val="10"/>
    </font>
    <font>
      <name val="Arial"/>
      <b val="1"/>
      <sz val="10"/>
    </font>
    <font>
      <name val="Arial"/>
      <sz val="10"/>
    </font>
    <font>
      <name val="Arial"/>
      <b val="1"/>
      <color rgb="FFFFFFFF"/>
      <sz val="16"/>
    </font>
    <font>
      <name val="Arial"/>
      <b val="1"/>
      <color rgb="FFFFFFFF"/>
      <sz val="10"/>
    </font>
    <font>
      <name val="Arial"/>
      <b val="1"/>
      <color rgb="FFFFFFFF"/>
      <sz val="14"/>
    </font>
  </fonts>
  <fills count="6">
    <fill>
      <patternFill/>
    </fill>
    <fill>
      <patternFill patternType="gray125"/>
    </fill>
    <fill>
      <patternFill patternType="solid">
        <fgColor rgb="FF003366"/>
      </patternFill>
    </fill>
    <fill>
      <patternFill patternType="solid">
        <fgColor rgb="FFF5F5F5"/>
      </patternFill>
    </fill>
    <fill>
      <patternFill patternType="solid">
        <fgColor rgb="FFFFFBCC"/>
      </patternFill>
    </fill>
    <fill>
      <patternFill patternType="solid">
        <fgColor rgb="FFE8F5E9"/>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4" fillId="3" borderId="1" applyAlignment="1" pivotButton="0" quotePrefix="0" xfId="0">
      <alignment horizontal="right"/>
    </xf>
    <xf numFmtId="0" fontId="5" fillId="4" borderId="1" pivotButton="0" quotePrefix="0" xfId="0"/>
    <xf numFmtId="0" fontId="3" fillId="0" borderId="0" pivotButton="0" quotePrefix="0" xfId="0"/>
    <xf numFmtId="164" fontId="5" fillId="4" borderId="1" pivotButton="0" quotePrefix="0" xfId="0"/>
    <xf numFmtId="0" fontId="6" fillId="2" borderId="0" applyAlignment="1" pivotButton="0" quotePrefix="0" xfId="0">
      <alignment horizontal="center" vertical="center"/>
    </xf>
    <xf numFmtId="0" fontId="4" fillId="0" borderId="0" pivotButton="0" quotePrefix="0" xfId="0"/>
    <xf numFmtId="0" fontId="5" fillId="5" borderId="1" pivotButton="0" quotePrefix="0" xfId="0"/>
    <xf numFmtId="0" fontId="7" fillId="2" borderId="1" applyAlignment="1" pivotButton="0" quotePrefix="0" xfId="0">
      <alignment horizontal="center" vertical="center" wrapText="1"/>
    </xf>
    <xf numFmtId="165" fontId="5" fillId="4" borderId="1" pivotButton="0" quotePrefix="0" xfId="0"/>
    <xf numFmtId="3" fontId="5" fillId="5" borderId="1" pivotButton="0" quotePrefix="0" xfId="0"/>
    <xf numFmtId="166" fontId="5" fillId="4" borderId="1" pivotButton="0" quotePrefix="0" xfId="0"/>
    <xf numFmtId="166" fontId="5" fillId="5" borderId="1" pivotButton="0" quotePrefix="0" xfId="0"/>
    <xf numFmtId="0" fontId="8" fillId="2" borderId="0" applyAlignment="1" pivotButton="0" quotePrefix="0" xfId="0">
      <alignment horizontal="center" vertical="center"/>
    </xf>
    <xf numFmtId="164" fontId="5" fillId="5" borderId="1" pivotButton="0" quotePrefix="0" xfId="0"/>
    <xf numFmtId="166" fontId="4" fillId="5" borderId="1" pivotButton="0" quotePrefix="0" xfId="0"/>
    <xf numFmtId="1" fontId="5" fillId="5" borderId="1" pivotButton="0" quotePrefix="0" xfId="0"/>
    <xf numFmtId="0" fontId="5" fillId="0" borderId="0" applyAlignment="1" pivotButton="0" quotePrefix="0" xfId="0">
      <alignment vertical="top" wrapText="1"/>
    </xf>
    <xf numFmtId="0" fontId="5" fillId="0" borderId="0" applyAlignment="1" pivotButton="0" quotePrefix="0" xfId="0">
      <alignment wrapText="1"/>
    </xf>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46" customWidth="1" min="2" max="2"/>
  </cols>
  <sheetData>
    <row r="1" ht="26" customHeight="1">
      <c r="A1" s="1" t="inlineStr">
        <is>
          <t>MATERIALS ESTIMATE SETUP</t>
        </is>
      </c>
    </row>
    <row r="2">
      <c r="A2" s="2" t="inlineStr">
        <is>
          <t>Enter your details. They appear across all sheets.</t>
        </is>
      </c>
    </row>
    <row r="4">
      <c r="A4" s="3" t="inlineStr">
        <is>
          <t>Business Name:</t>
        </is>
      </c>
      <c r="B4" s="4" t="n"/>
    </row>
    <row r="5">
      <c r="A5" s="3" t="inlineStr">
        <is>
          <t>ABN:</t>
        </is>
      </c>
      <c r="B5" s="4" t="n"/>
    </row>
    <row r="6">
      <c r="A6" s="3" t="inlineStr">
        <is>
          <t>Builder Licence:</t>
        </is>
      </c>
      <c r="B6" s="4" t="n"/>
    </row>
    <row r="7">
      <c r="A7" s="3" t="inlineStr">
        <is>
          <t>Phone:</t>
        </is>
      </c>
      <c r="B7" s="4" t="n"/>
    </row>
    <row r="8">
      <c r="A8" s="3" t="inlineStr">
        <is>
          <t>Email:</t>
        </is>
      </c>
      <c r="B8" s="4" t="n"/>
    </row>
    <row r="10">
      <c r="A10" s="5" t="inlineStr">
        <is>
          <t>PROJECT</t>
        </is>
      </c>
    </row>
    <row r="11">
      <c r="A11" s="3" t="inlineStr">
        <is>
          <t>Project Name:</t>
        </is>
      </c>
      <c r="B11" s="4" t="n"/>
    </row>
    <row r="12">
      <c r="A12" s="3" t="inlineStr">
        <is>
          <t>Project Address:</t>
        </is>
      </c>
      <c r="B12" s="4" t="n"/>
    </row>
    <row r="13">
      <c r="A13" s="3" t="inlineStr">
        <is>
          <t>Client Name:</t>
        </is>
      </c>
      <c r="B13" s="4" t="n"/>
    </row>
    <row r="14">
      <c r="A14" s="3" t="inlineStr">
        <is>
          <t>Job Description:</t>
        </is>
      </c>
      <c r="B14" s="4" t="n"/>
    </row>
    <row r="16">
      <c r="A16" s="5" t="inlineStr">
        <is>
          <t>PRICING</t>
        </is>
      </c>
    </row>
    <row r="17">
      <c r="A17" s="3" t="inlineStr">
        <is>
          <t>Pricing Source:</t>
        </is>
      </c>
      <c r="B17" s="4" t="inlineStr">
        <is>
          <t>Bunnings retail (guide only)</t>
        </is>
      </c>
    </row>
    <row r="18">
      <c r="A18" s="3" t="inlineStr">
        <is>
          <t>Store / Supplier:</t>
        </is>
      </c>
      <c r="B18" s="4" t="n"/>
    </row>
    <row r="19">
      <c r="A19" s="3" t="inlineStr">
        <is>
          <t>Prices Checked On:</t>
        </is>
      </c>
      <c r="B19" s="6" t="n"/>
    </row>
    <row r="20">
      <c r="A20" s="3" t="inlineStr">
        <is>
          <t>ROM Low (%):</t>
        </is>
      </c>
      <c r="B20" s="4" t="n">
        <v>15</v>
      </c>
    </row>
    <row r="21">
      <c r="A21" s="3" t="inlineStr">
        <is>
          <t>ROM High (%):</t>
        </is>
      </c>
      <c r="B21" s="4" t="n">
        <v>30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10" customWidth="1" min="3" max="3"/>
    <col width="16" customWidth="1" min="4" max="4"/>
    <col width="9" customWidth="1" min="5" max="5"/>
    <col width="9" customWidth="1" min="6" max="6"/>
    <col width="22" customWidth="1" min="7" max="7"/>
    <col width="13" customWidth="1" min="8" max="8"/>
    <col width="14" customWidth="1" min="9" max="9"/>
    <col width="16" customWidth="1" min="10" max="10"/>
    <col width="11" customWidth="1" min="11" max="11"/>
    <col width="30" customWidth="1" min="12" max="12"/>
  </cols>
  <sheetData>
    <row r="1" ht="26" customHeight="1">
      <c r="A1" s="7" t="inlineStr">
        <is>
          <t>MATERIALS ESTIMATE</t>
        </is>
      </c>
    </row>
    <row r="2">
      <c r="A2" s="8" t="inlineStr">
        <is>
          <t>Project:</t>
        </is>
      </c>
      <c r="B2" s="9">
        <f>Setup!B11</f>
        <v/>
      </c>
      <c r="E2" s="8" t="inlineStr">
        <is>
          <t>Source:</t>
        </is>
      </c>
      <c r="F2" s="9">
        <f>Setup!B17&amp;IF(Setup!B18="",""," - "&amp;Setup!B18)</f>
        <v/>
      </c>
    </row>
    <row r="4" ht="30" customHeight="1">
      <c r="A4" s="10" t="inlineStr">
        <is>
          <t>Item</t>
        </is>
      </c>
      <c r="B4" s="10" t="inlineStr">
        <is>
          <t>Specification</t>
        </is>
      </c>
      <c r="C4" s="10" t="inlineStr">
        <is>
          <t>Qty Needed</t>
        </is>
      </c>
      <c r="D4" s="10" t="inlineStr">
        <is>
          <t>Unit</t>
        </is>
      </c>
      <c r="E4" s="10" t="inlineStr">
        <is>
          <t>Pack Size</t>
        </is>
      </c>
      <c r="F4" s="10" t="inlineStr">
        <is>
          <t>Packs to Buy</t>
        </is>
      </c>
      <c r="G4" s="10" t="inlineStr">
        <is>
          <t>Product / Item No.</t>
        </is>
      </c>
      <c r="H4" s="10" t="inlineStr">
        <is>
          <t>Unit Price inc GST ($)</t>
        </is>
      </c>
      <c r="I4" s="10" t="inlineStr">
        <is>
          <t>Line Total inc GST ($)</t>
        </is>
      </c>
      <c r="J4" s="10" t="inlineStr">
        <is>
          <t>Source</t>
        </is>
      </c>
      <c r="K4" s="10" t="inlineStr">
        <is>
          <t>Priced On</t>
        </is>
      </c>
      <c r="L4" s="10" t="inlineStr">
        <is>
          <t>Notes</t>
        </is>
      </c>
    </row>
    <row r="5">
      <c r="A5" s="4" t="n"/>
      <c r="B5" s="4" t="n"/>
      <c r="C5" s="11" t="n"/>
      <c r="D5" s="4" t="n"/>
      <c r="E5" s="11" t="n"/>
      <c r="F5" s="12">
        <f>IF(C5="","",ROUNDUP(C5/IF(E5="",1,E5),0))</f>
        <v/>
      </c>
      <c r="G5" s="4" t="n"/>
      <c r="H5" s="13" t="n"/>
      <c r="I5" s="14">
        <f>IF(OR(F5="",H5=""),"",F5*H5)</f>
        <v/>
      </c>
      <c r="J5" s="4" t="n"/>
      <c r="K5" s="6" t="n"/>
      <c r="L5" s="4" t="n"/>
    </row>
    <row r="6">
      <c r="A6" s="4" t="n"/>
      <c r="B6" s="4" t="n"/>
      <c r="C6" s="11" t="n"/>
      <c r="D6" s="4" t="n"/>
      <c r="E6" s="11" t="n"/>
      <c r="F6" s="12">
        <f>IF(C6="","",ROUNDUP(C6/IF(E6="",1,E6),0))</f>
        <v/>
      </c>
      <c r="G6" s="4" t="n"/>
      <c r="H6" s="13" t="n"/>
      <c r="I6" s="14">
        <f>IF(OR(F6="",H6=""),"",F6*H6)</f>
        <v/>
      </c>
      <c r="J6" s="4" t="n"/>
      <c r="K6" s="6" t="n"/>
      <c r="L6" s="4" t="n"/>
    </row>
    <row r="7">
      <c r="A7" s="4" t="n"/>
      <c r="B7" s="4" t="n"/>
      <c r="C7" s="11" t="n"/>
      <c r="D7" s="4" t="n"/>
      <c r="E7" s="11" t="n"/>
      <c r="F7" s="12">
        <f>IF(C7="","",ROUNDUP(C7/IF(E7="",1,E7),0))</f>
        <v/>
      </c>
      <c r="G7" s="4" t="n"/>
      <c r="H7" s="13" t="n"/>
      <c r="I7" s="14">
        <f>IF(OR(F7="",H7=""),"",F7*H7)</f>
        <v/>
      </c>
      <c r="J7" s="4" t="n"/>
      <c r="K7" s="6" t="n"/>
      <c r="L7" s="4" t="n"/>
    </row>
    <row r="8">
      <c r="A8" s="4" t="n"/>
      <c r="B8" s="4" t="n"/>
      <c r="C8" s="11" t="n"/>
      <c r="D8" s="4" t="n"/>
      <c r="E8" s="11" t="n"/>
      <c r="F8" s="12">
        <f>IF(C8="","",ROUNDUP(C8/IF(E8="",1,E8),0))</f>
        <v/>
      </c>
      <c r="G8" s="4" t="n"/>
      <c r="H8" s="13" t="n"/>
      <c r="I8" s="14">
        <f>IF(OR(F8="",H8=""),"",F8*H8)</f>
        <v/>
      </c>
      <c r="J8" s="4" t="n"/>
      <c r="K8" s="6" t="n"/>
      <c r="L8" s="4" t="n"/>
    </row>
    <row r="9">
      <c r="A9" s="4" t="n"/>
      <c r="B9" s="4" t="n"/>
      <c r="C9" s="11" t="n"/>
      <c r="D9" s="4" t="n"/>
      <c r="E9" s="11" t="n"/>
      <c r="F9" s="12">
        <f>IF(C9="","",ROUNDUP(C9/IF(E9="",1,E9),0))</f>
        <v/>
      </c>
      <c r="G9" s="4" t="n"/>
      <c r="H9" s="13" t="n"/>
      <c r="I9" s="14">
        <f>IF(OR(F9="",H9=""),"",F9*H9)</f>
        <v/>
      </c>
      <c r="J9" s="4" t="n"/>
      <c r="K9" s="6" t="n"/>
      <c r="L9" s="4" t="n"/>
    </row>
    <row r="10">
      <c r="A10" s="4" t="n"/>
      <c r="B10" s="4" t="n"/>
      <c r="C10" s="11" t="n"/>
      <c r="D10" s="4" t="n"/>
      <c r="E10" s="11" t="n"/>
      <c r="F10" s="12">
        <f>IF(C10="","",ROUNDUP(C10/IF(E10="",1,E10),0))</f>
        <v/>
      </c>
      <c r="G10" s="4" t="n"/>
      <c r="H10" s="13" t="n"/>
      <c r="I10" s="14">
        <f>IF(OR(F10="",H10=""),"",F10*H10)</f>
        <v/>
      </c>
      <c r="J10" s="4" t="n"/>
      <c r="K10" s="6" t="n"/>
      <c r="L10" s="4" t="n"/>
    </row>
    <row r="11">
      <c r="A11" s="4" t="n"/>
      <c r="B11" s="4" t="n"/>
      <c r="C11" s="11" t="n"/>
      <c r="D11" s="4" t="n"/>
      <c r="E11" s="11" t="n"/>
      <c r="F11" s="12">
        <f>IF(C11="","",ROUNDUP(C11/IF(E11="",1,E11),0))</f>
        <v/>
      </c>
      <c r="G11" s="4" t="n"/>
      <c r="H11" s="13" t="n"/>
      <c r="I11" s="14">
        <f>IF(OR(F11="",H11=""),"",F11*H11)</f>
        <v/>
      </c>
      <c r="J11" s="4" t="n"/>
      <c r="K11" s="6" t="n"/>
      <c r="L11" s="4" t="n"/>
    </row>
    <row r="12">
      <c r="A12" s="4" t="n"/>
      <c r="B12" s="4" t="n"/>
      <c r="C12" s="11" t="n"/>
      <c r="D12" s="4" t="n"/>
      <c r="E12" s="11" t="n"/>
      <c r="F12" s="12">
        <f>IF(C12="","",ROUNDUP(C12/IF(E12="",1,E12),0))</f>
        <v/>
      </c>
      <c r="G12" s="4" t="n"/>
      <c r="H12" s="13" t="n"/>
      <c r="I12" s="14">
        <f>IF(OR(F12="",H12=""),"",F12*H12)</f>
        <v/>
      </c>
      <c r="J12" s="4" t="n"/>
      <c r="K12" s="6" t="n"/>
      <c r="L12" s="4" t="n"/>
    </row>
    <row r="13">
      <c r="A13" s="4" t="n"/>
      <c r="B13" s="4" t="n"/>
      <c r="C13" s="11" t="n"/>
      <c r="D13" s="4" t="n"/>
      <c r="E13" s="11" t="n"/>
      <c r="F13" s="12">
        <f>IF(C13="","",ROUNDUP(C13/IF(E13="",1,E13),0))</f>
        <v/>
      </c>
      <c r="G13" s="4" t="n"/>
      <c r="H13" s="13" t="n"/>
      <c r="I13" s="14">
        <f>IF(OR(F13="",H13=""),"",F13*H13)</f>
        <v/>
      </c>
      <c r="J13" s="4" t="n"/>
      <c r="K13" s="6" t="n"/>
      <c r="L13" s="4" t="n"/>
    </row>
    <row r="14">
      <c r="A14" s="4" t="n"/>
      <c r="B14" s="4" t="n"/>
      <c r="C14" s="11" t="n"/>
      <c r="D14" s="4" t="n"/>
      <c r="E14" s="11" t="n"/>
      <c r="F14" s="12">
        <f>IF(C14="","",ROUNDUP(C14/IF(E14="",1,E14),0))</f>
        <v/>
      </c>
      <c r="G14" s="4" t="n"/>
      <c r="H14" s="13" t="n"/>
      <c r="I14" s="14">
        <f>IF(OR(F14="",H14=""),"",F14*H14)</f>
        <v/>
      </c>
      <c r="J14" s="4" t="n"/>
      <c r="K14" s="6" t="n"/>
      <c r="L14" s="4" t="n"/>
    </row>
    <row r="15">
      <c r="A15" s="4" t="n"/>
      <c r="B15" s="4" t="n"/>
      <c r="C15" s="11" t="n"/>
      <c r="D15" s="4" t="n"/>
      <c r="E15" s="11" t="n"/>
      <c r="F15" s="12">
        <f>IF(C15="","",ROUNDUP(C15/IF(E15="",1,E15),0))</f>
        <v/>
      </c>
      <c r="G15" s="4" t="n"/>
      <c r="H15" s="13" t="n"/>
      <c r="I15" s="14">
        <f>IF(OR(F15="",H15=""),"",F15*H15)</f>
        <v/>
      </c>
      <c r="J15" s="4" t="n"/>
      <c r="K15" s="6" t="n"/>
      <c r="L15" s="4" t="n"/>
    </row>
    <row r="16">
      <c r="A16" s="4" t="n"/>
      <c r="B16" s="4" t="n"/>
      <c r="C16" s="11" t="n"/>
      <c r="D16" s="4" t="n"/>
      <c r="E16" s="11" t="n"/>
      <c r="F16" s="12">
        <f>IF(C16="","",ROUNDUP(C16/IF(E16="",1,E16),0))</f>
        <v/>
      </c>
      <c r="G16" s="4" t="n"/>
      <c r="H16" s="13" t="n"/>
      <c r="I16" s="14">
        <f>IF(OR(F16="",H16=""),"",F16*H16)</f>
        <v/>
      </c>
      <c r="J16" s="4" t="n"/>
      <c r="K16" s="6" t="n"/>
      <c r="L16" s="4" t="n"/>
    </row>
    <row r="17">
      <c r="A17" s="4" t="n"/>
      <c r="B17" s="4" t="n"/>
      <c r="C17" s="11" t="n"/>
      <c r="D17" s="4" t="n"/>
      <c r="E17" s="11" t="n"/>
      <c r="F17" s="12">
        <f>IF(C17="","",ROUNDUP(C17/IF(E17="",1,E17),0))</f>
        <v/>
      </c>
      <c r="G17" s="4" t="n"/>
      <c r="H17" s="13" t="n"/>
      <c r="I17" s="14">
        <f>IF(OR(F17="",H17=""),"",F17*H17)</f>
        <v/>
      </c>
      <c r="J17" s="4" t="n"/>
      <c r="K17" s="6" t="n"/>
      <c r="L17" s="4" t="n"/>
    </row>
    <row r="18">
      <c r="A18" s="4" t="n"/>
      <c r="B18" s="4" t="n"/>
      <c r="C18" s="11" t="n"/>
      <c r="D18" s="4" t="n"/>
      <c r="E18" s="11" t="n"/>
      <c r="F18" s="12">
        <f>IF(C18="","",ROUNDUP(C18/IF(E18="",1,E18),0))</f>
        <v/>
      </c>
      <c r="G18" s="4" t="n"/>
      <c r="H18" s="13" t="n"/>
      <c r="I18" s="14">
        <f>IF(OR(F18="",H18=""),"",F18*H18)</f>
        <v/>
      </c>
      <c r="J18" s="4" t="n"/>
      <c r="K18" s="6" t="n"/>
      <c r="L18" s="4" t="n"/>
    </row>
    <row r="19">
      <c r="A19" s="4" t="n"/>
      <c r="B19" s="4" t="n"/>
      <c r="C19" s="11" t="n"/>
      <c r="D19" s="4" t="n"/>
      <c r="E19" s="11" t="n"/>
      <c r="F19" s="12">
        <f>IF(C19="","",ROUNDUP(C19/IF(E19="",1,E19),0))</f>
        <v/>
      </c>
      <c r="G19" s="4" t="n"/>
      <c r="H19" s="13" t="n"/>
      <c r="I19" s="14">
        <f>IF(OR(F19="",H19=""),"",F19*H19)</f>
        <v/>
      </c>
      <c r="J19" s="4" t="n"/>
      <c r="K19" s="6" t="n"/>
      <c r="L19" s="4" t="n"/>
    </row>
    <row r="20">
      <c r="A20" s="4" t="n"/>
      <c r="B20" s="4" t="n"/>
      <c r="C20" s="11" t="n"/>
      <c r="D20" s="4" t="n"/>
      <c r="E20" s="11" t="n"/>
      <c r="F20" s="12">
        <f>IF(C20="","",ROUNDUP(C20/IF(E20="",1,E20),0))</f>
        <v/>
      </c>
      <c r="G20" s="4" t="n"/>
      <c r="H20" s="13" t="n"/>
      <c r="I20" s="14">
        <f>IF(OR(F20="",H20=""),"",F20*H20)</f>
        <v/>
      </c>
      <c r="J20" s="4" t="n"/>
      <c r="K20" s="6" t="n"/>
      <c r="L20" s="4" t="n"/>
    </row>
    <row r="21">
      <c r="A21" s="4" t="n"/>
      <c r="B21" s="4" t="n"/>
      <c r="C21" s="11" t="n"/>
      <c r="D21" s="4" t="n"/>
      <c r="E21" s="11" t="n"/>
      <c r="F21" s="12">
        <f>IF(C21="","",ROUNDUP(C21/IF(E21="",1,E21),0))</f>
        <v/>
      </c>
      <c r="G21" s="4" t="n"/>
      <c r="H21" s="13" t="n"/>
      <c r="I21" s="14">
        <f>IF(OR(F21="",H21=""),"",F21*H21)</f>
        <v/>
      </c>
      <c r="J21" s="4" t="n"/>
      <c r="K21" s="6" t="n"/>
      <c r="L21" s="4" t="n"/>
    </row>
    <row r="22">
      <c r="A22" s="4" t="n"/>
      <c r="B22" s="4" t="n"/>
      <c r="C22" s="11" t="n"/>
      <c r="D22" s="4" t="n"/>
      <c r="E22" s="11" t="n"/>
      <c r="F22" s="12">
        <f>IF(C22="","",ROUNDUP(C22/IF(E22="",1,E22),0))</f>
        <v/>
      </c>
      <c r="G22" s="4" t="n"/>
      <c r="H22" s="13" t="n"/>
      <c r="I22" s="14">
        <f>IF(OR(F22="",H22=""),"",F22*H22)</f>
        <v/>
      </c>
      <c r="J22" s="4" t="n"/>
      <c r="K22" s="6" t="n"/>
      <c r="L22" s="4" t="n"/>
    </row>
    <row r="23">
      <c r="A23" s="4" t="n"/>
      <c r="B23" s="4" t="n"/>
      <c r="C23" s="11" t="n"/>
      <c r="D23" s="4" t="n"/>
      <c r="E23" s="11" t="n"/>
      <c r="F23" s="12">
        <f>IF(C23="","",ROUNDUP(C23/IF(E23="",1,E23),0))</f>
        <v/>
      </c>
      <c r="G23" s="4" t="n"/>
      <c r="H23" s="13" t="n"/>
      <c r="I23" s="14">
        <f>IF(OR(F23="",H23=""),"",F23*H23)</f>
        <v/>
      </c>
      <c r="J23" s="4" t="n"/>
      <c r="K23" s="6" t="n"/>
      <c r="L23" s="4" t="n"/>
    </row>
    <row r="24">
      <c r="A24" s="4" t="n"/>
      <c r="B24" s="4" t="n"/>
      <c r="C24" s="11" t="n"/>
      <c r="D24" s="4" t="n"/>
      <c r="E24" s="11" t="n"/>
      <c r="F24" s="12">
        <f>IF(C24="","",ROUNDUP(C24/IF(E24="",1,E24),0))</f>
        <v/>
      </c>
      <c r="G24" s="4" t="n"/>
      <c r="H24" s="13" t="n"/>
      <c r="I24" s="14">
        <f>IF(OR(F24="",H24=""),"",F24*H24)</f>
        <v/>
      </c>
      <c r="J24" s="4" t="n"/>
      <c r="K24" s="6" t="n"/>
      <c r="L24" s="4" t="n"/>
    </row>
    <row r="25">
      <c r="A25" s="4" t="n"/>
      <c r="B25" s="4" t="n"/>
      <c r="C25" s="11" t="n"/>
      <c r="D25" s="4" t="n"/>
      <c r="E25" s="11" t="n"/>
      <c r="F25" s="12">
        <f>IF(C25="","",ROUNDUP(C25/IF(E25="",1,E25),0))</f>
        <v/>
      </c>
      <c r="G25" s="4" t="n"/>
      <c r="H25" s="13" t="n"/>
      <c r="I25" s="14">
        <f>IF(OR(F25="",H25=""),"",F25*H25)</f>
        <v/>
      </c>
      <c r="J25" s="4" t="n"/>
      <c r="K25" s="6" t="n"/>
      <c r="L25" s="4" t="n"/>
    </row>
    <row r="26">
      <c r="A26" s="4" t="n"/>
      <c r="B26" s="4" t="n"/>
      <c r="C26" s="11" t="n"/>
      <c r="D26" s="4" t="n"/>
      <c r="E26" s="11" t="n"/>
      <c r="F26" s="12">
        <f>IF(C26="","",ROUNDUP(C26/IF(E26="",1,E26),0))</f>
        <v/>
      </c>
      <c r="G26" s="4" t="n"/>
      <c r="H26" s="13" t="n"/>
      <c r="I26" s="14">
        <f>IF(OR(F26="",H26=""),"",F26*H26)</f>
        <v/>
      </c>
      <c r="J26" s="4" t="n"/>
      <c r="K26" s="6" t="n"/>
      <c r="L26" s="4" t="n"/>
    </row>
    <row r="27">
      <c r="A27" s="4" t="n"/>
      <c r="B27" s="4" t="n"/>
      <c r="C27" s="11" t="n"/>
      <c r="D27" s="4" t="n"/>
      <c r="E27" s="11" t="n"/>
      <c r="F27" s="12">
        <f>IF(C27="","",ROUNDUP(C27/IF(E27="",1,E27),0))</f>
        <v/>
      </c>
      <c r="G27" s="4" t="n"/>
      <c r="H27" s="13" t="n"/>
      <c r="I27" s="14">
        <f>IF(OR(F27="",H27=""),"",F27*H27)</f>
        <v/>
      </c>
      <c r="J27" s="4" t="n"/>
      <c r="K27" s="6" t="n"/>
      <c r="L27" s="4" t="n"/>
    </row>
    <row r="28">
      <c r="A28" s="4" t="n"/>
      <c r="B28" s="4" t="n"/>
      <c r="C28" s="11" t="n"/>
      <c r="D28" s="4" t="n"/>
      <c r="E28" s="11" t="n"/>
      <c r="F28" s="12">
        <f>IF(C28="","",ROUNDUP(C28/IF(E28="",1,E28),0))</f>
        <v/>
      </c>
      <c r="G28" s="4" t="n"/>
      <c r="H28" s="13" t="n"/>
      <c r="I28" s="14">
        <f>IF(OR(F28="",H28=""),"",F28*H28)</f>
        <v/>
      </c>
      <c r="J28" s="4" t="n"/>
      <c r="K28" s="6" t="n"/>
      <c r="L28" s="4" t="n"/>
    </row>
    <row r="29">
      <c r="A29" s="4" t="n"/>
      <c r="B29" s="4" t="n"/>
      <c r="C29" s="11" t="n"/>
      <c r="D29" s="4" t="n"/>
      <c r="E29" s="11" t="n"/>
      <c r="F29" s="12">
        <f>IF(C29="","",ROUNDUP(C29/IF(E29="",1,E29),0))</f>
        <v/>
      </c>
      <c r="G29" s="4" t="n"/>
      <c r="H29" s="13" t="n"/>
      <c r="I29" s="14">
        <f>IF(OR(F29="",H29=""),"",F29*H29)</f>
        <v/>
      </c>
      <c r="J29" s="4" t="n"/>
      <c r="K29" s="6" t="n"/>
      <c r="L29" s="4" t="n"/>
    </row>
    <row r="30">
      <c r="A30" s="4" t="n"/>
      <c r="B30" s="4" t="n"/>
      <c r="C30" s="11" t="n"/>
      <c r="D30" s="4" t="n"/>
      <c r="E30" s="11" t="n"/>
      <c r="F30" s="12">
        <f>IF(C30="","",ROUNDUP(C30/IF(E30="",1,E30),0))</f>
        <v/>
      </c>
      <c r="G30" s="4" t="n"/>
      <c r="H30" s="13" t="n"/>
      <c r="I30" s="14">
        <f>IF(OR(F30="",H30=""),"",F30*H30)</f>
        <v/>
      </c>
      <c r="J30" s="4" t="n"/>
      <c r="K30" s="6" t="n"/>
      <c r="L30" s="4" t="n"/>
    </row>
    <row r="31">
      <c r="A31" s="4" t="n"/>
      <c r="B31" s="4" t="n"/>
      <c r="C31" s="11" t="n"/>
      <c r="D31" s="4" t="n"/>
      <c r="E31" s="11" t="n"/>
      <c r="F31" s="12">
        <f>IF(C31="","",ROUNDUP(C31/IF(E31="",1,E31),0))</f>
        <v/>
      </c>
      <c r="G31" s="4" t="n"/>
      <c r="H31" s="13" t="n"/>
      <c r="I31" s="14">
        <f>IF(OR(F31="",H31=""),"",F31*H31)</f>
        <v/>
      </c>
      <c r="J31" s="4" t="n"/>
      <c r="K31" s="6" t="n"/>
      <c r="L31" s="4" t="n"/>
    </row>
    <row r="32">
      <c r="A32" s="4" t="n"/>
      <c r="B32" s="4" t="n"/>
      <c r="C32" s="11" t="n"/>
      <c r="D32" s="4" t="n"/>
      <c r="E32" s="11" t="n"/>
      <c r="F32" s="12">
        <f>IF(C32="","",ROUNDUP(C32/IF(E32="",1,E32),0))</f>
        <v/>
      </c>
      <c r="G32" s="4" t="n"/>
      <c r="H32" s="13" t="n"/>
      <c r="I32" s="14">
        <f>IF(OR(F32="",H32=""),"",F32*H32)</f>
        <v/>
      </c>
      <c r="J32" s="4" t="n"/>
      <c r="K32" s="6" t="n"/>
      <c r="L32" s="4" t="n"/>
    </row>
    <row r="33">
      <c r="A33" s="4" t="n"/>
      <c r="B33" s="4" t="n"/>
      <c r="C33" s="11" t="n"/>
      <c r="D33" s="4" t="n"/>
      <c r="E33" s="11" t="n"/>
      <c r="F33" s="12">
        <f>IF(C33="","",ROUNDUP(C33/IF(E33="",1,E33),0))</f>
        <v/>
      </c>
      <c r="G33" s="4" t="n"/>
      <c r="H33" s="13" t="n"/>
      <c r="I33" s="14">
        <f>IF(OR(F33="",H33=""),"",F33*H33)</f>
        <v/>
      </c>
      <c r="J33" s="4" t="n"/>
      <c r="K33" s="6" t="n"/>
      <c r="L33" s="4" t="n"/>
    </row>
    <row r="34">
      <c r="A34" s="4" t="n"/>
      <c r="B34" s="4" t="n"/>
      <c r="C34" s="11" t="n"/>
      <c r="D34" s="4" t="n"/>
      <c r="E34" s="11" t="n"/>
      <c r="F34" s="12">
        <f>IF(C34="","",ROUNDUP(C34/IF(E34="",1,E34),0))</f>
        <v/>
      </c>
      <c r="G34" s="4" t="n"/>
      <c r="H34" s="13" t="n"/>
      <c r="I34" s="14">
        <f>IF(OR(F34="",H34=""),"",F34*H34)</f>
        <v/>
      </c>
      <c r="J34" s="4" t="n"/>
      <c r="K34" s="6" t="n"/>
      <c r="L34" s="4" t="n"/>
    </row>
    <row r="35">
      <c r="A35" s="4" t="n"/>
      <c r="B35" s="4" t="n"/>
      <c r="C35" s="11" t="n"/>
      <c r="D35" s="4" t="n"/>
      <c r="E35" s="11" t="n"/>
      <c r="F35" s="12">
        <f>IF(C35="","",ROUNDUP(C35/IF(E35="",1,E35),0))</f>
        <v/>
      </c>
      <c r="G35" s="4" t="n"/>
      <c r="H35" s="13" t="n"/>
      <c r="I35" s="14">
        <f>IF(OR(F35="",H35=""),"",F35*H35)</f>
        <v/>
      </c>
      <c r="J35" s="4" t="n"/>
      <c r="K35" s="6" t="n"/>
      <c r="L35" s="4" t="n"/>
    </row>
    <row r="36">
      <c r="A36" s="4" t="n"/>
      <c r="B36" s="4" t="n"/>
      <c r="C36" s="11" t="n"/>
      <c r="D36" s="4" t="n"/>
      <c r="E36" s="11" t="n"/>
      <c r="F36" s="12">
        <f>IF(C36="","",ROUNDUP(C36/IF(E36="",1,E36),0))</f>
        <v/>
      </c>
      <c r="G36" s="4" t="n"/>
      <c r="H36" s="13" t="n"/>
      <c r="I36" s="14">
        <f>IF(OR(F36="",H36=""),"",F36*H36)</f>
        <v/>
      </c>
      <c r="J36" s="4" t="n"/>
      <c r="K36" s="6" t="n"/>
      <c r="L36" s="4" t="n"/>
    </row>
    <row r="37">
      <c r="A37" s="4" t="n"/>
      <c r="B37" s="4" t="n"/>
      <c r="C37" s="11" t="n"/>
      <c r="D37" s="4" t="n"/>
      <c r="E37" s="11" t="n"/>
      <c r="F37" s="12">
        <f>IF(C37="","",ROUNDUP(C37/IF(E37="",1,E37),0))</f>
        <v/>
      </c>
      <c r="G37" s="4" t="n"/>
      <c r="H37" s="13" t="n"/>
      <c r="I37" s="14">
        <f>IF(OR(F37="",H37=""),"",F37*H37)</f>
        <v/>
      </c>
      <c r="J37" s="4" t="n"/>
      <c r="K37" s="6" t="n"/>
      <c r="L37" s="4" t="n"/>
    </row>
    <row r="38">
      <c r="A38" s="4" t="n"/>
      <c r="B38" s="4" t="n"/>
      <c r="C38" s="11" t="n"/>
      <c r="D38" s="4" t="n"/>
      <c r="E38" s="11" t="n"/>
      <c r="F38" s="12">
        <f>IF(C38="","",ROUNDUP(C38/IF(E38="",1,E38),0))</f>
        <v/>
      </c>
      <c r="G38" s="4" t="n"/>
      <c r="H38" s="13" t="n"/>
      <c r="I38" s="14">
        <f>IF(OR(F38="",H38=""),"",F38*H38)</f>
        <v/>
      </c>
      <c r="J38" s="4" t="n"/>
      <c r="K38" s="6" t="n"/>
      <c r="L38" s="4" t="n"/>
    </row>
    <row r="39">
      <c r="A39" s="4" t="n"/>
      <c r="B39" s="4" t="n"/>
      <c r="C39" s="11" t="n"/>
      <c r="D39" s="4" t="n"/>
      <c r="E39" s="11" t="n"/>
      <c r="F39" s="12">
        <f>IF(C39="","",ROUNDUP(C39/IF(E39="",1,E39),0))</f>
        <v/>
      </c>
      <c r="G39" s="4" t="n"/>
      <c r="H39" s="13" t="n"/>
      <c r="I39" s="14">
        <f>IF(OR(F39="",H39=""),"",F39*H39)</f>
        <v/>
      </c>
      <c r="J39" s="4" t="n"/>
      <c r="K39" s="6" t="n"/>
      <c r="L39" s="4" t="n"/>
    </row>
    <row r="40">
      <c r="A40" s="4" t="n"/>
      <c r="B40" s="4" t="n"/>
      <c r="C40" s="11" t="n"/>
      <c r="D40" s="4" t="n"/>
      <c r="E40" s="11" t="n"/>
      <c r="F40" s="12">
        <f>IF(C40="","",ROUNDUP(C40/IF(E40="",1,E40),0))</f>
        <v/>
      </c>
      <c r="G40" s="4" t="n"/>
      <c r="H40" s="13" t="n"/>
      <c r="I40" s="14">
        <f>IF(OR(F40="",H40=""),"",F40*H40)</f>
        <v/>
      </c>
      <c r="J40" s="4" t="n"/>
      <c r="K40" s="6" t="n"/>
      <c r="L40" s="4" t="n"/>
    </row>
    <row r="41">
      <c r="A41" s="4" t="n"/>
      <c r="B41" s="4" t="n"/>
      <c r="C41" s="11" t="n"/>
      <c r="D41" s="4" t="n"/>
      <c r="E41" s="11" t="n"/>
      <c r="F41" s="12">
        <f>IF(C41="","",ROUNDUP(C41/IF(E41="",1,E41),0))</f>
        <v/>
      </c>
      <c r="G41" s="4" t="n"/>
      <c r="H41" s="13" t="n"/>
      <c r="I41" s="14">
        <f>IF(OR(F41="",H41=""),"",F41*H41)</f>
        <v/>
      </c>
      <c r="J41" s="4" t="n"/>
      <c r="K41" s="6" t="n"/>
      <c r="L41" s="4" t="n"/>
    </row>
    <row r="42">
      <c r="A42" s="4" t="n"/>
      <c r="B42" s="4" t="n"/>
      <c r="C42" s="11" t="n"/>
      <c r="D42" s="4" t="n"/>
      <c r="E42" s="11" t="n"/>
      <c r="F42" s="12">
        <f>IF(C42="","",ROUNDUP(C42/IF(E42="",1,E42),0))</f>
        <v/>
      </c>
      <c r="G42" s="4" t="n"/>
      <c r="H42" s="13" t="n"/>
      <c r="I42" s="14">
        <f>IF(OR(F42="",H42=""),"",F42*H42)</f>
        <v/>
      </c>
      <c r="J42" s="4" t="n"/>
      <c r="K42" s="6" t="n"/>
      <c r="L42" s="4" t="n"/>
    </row>
    <row r="43">
      <c r="A43" s="4" t="n"/>
      <c r="B43" s="4" t="n"/>
      <c r="C43" s="11" t="n"/>
      <c r="D43" s="4" t="n"/>
      <c r="E43" s="11" t="n"/>
      <c r="F43" s="12">
        <f>IF(C43="","",ROUNDUP(C43/IF(E43="",1,E43),0))</f>
        <v/>
      </c>
      <c r="G43" s="4" t="n"/>
      <c r="H43" s="13" t="n"/>
      <c r="I43" s="14">
        <f>IF(OR(F43="",H43=""),"",F43*H43)</f>
        <v/>
      </c>
      <c r="J43" s="4" t="n"/>
      <c r="K43" s="6" t="n"/>
      <c r="L43" s="4" t="n"/>
    </row>
    <row r="44">
      <c r="A44" s="4" t="n"/>
      <c r="B44" s="4" t="n"/>
      <c r="C44" s="11" t="n"/>
      <c r="D44" s="4" t="n"/>
      <c r="E44" s="11" t="n"/>
      <c r="F44" s="12">
        <f>IF(C44="","",ROUNDUP(C44/IF(E44="",1,E44),0))</f>
        <v/>
      </c>
      <c r="G44" s="4" t="n"/>
      <c r="H44" s="13" t="n"/>
      <c r="I44" s="14">
        <f>IF(OR(F44="",H44=""),"",F44*H44)</f>
        <v/>
      </c>
      <c r="J44" s="4" t="n"/>
      <c r="K44" s="6" t="n"/>
      <c r="L44" s="4" t="n"/>
    </row>
    <row r="45">
      <c r="A45" s="4" t="n"/>
      <c r="B45" s="4" t="n"/>
      <c r="C45" s="11" t="n"/>
      <c r="D45" s="4" t="n"/>
      <c r="E45" s="11" t="n"/>
      <c r="F45" s="12">
        <f>IF(C45="","",ROUNDUP(C45/IF(E45="",1,E45),0))</f>
        <v/>
      </c>
      <c r="G45" s="4" t="n"/>
      <c r="H45" s="13" t="n"/>
      <c r="I45" s="14">
        <f>IF(OR(F45="",H45=""),"",F45*H45)</f>
        <v/>
      </c>
      <c r="J45" s="4" t="n"/>
      <c r="K45" s="6" t="n"/>
      <c r="L45" s="4" t="n"/>
    </row>
    <row r="46">
      <c r="A46" s="4" t="n"/>
      <c r="B46" s="4" t="n"/>
      <c r="C46" s="11" t="n"/>
      <c r="D46" s="4" t="n"/>
      <c r="E46" s="11" t="n"/>
      <c r="F46" s="12">
        <f>IF(C46="","",ROUNDUP(C46/IF(E46="",1,E46),0))</f>
        <v/>
      </c>
      <c r="G46" s="4" t="n"/>
      <c r="H46" s="13" t="n"/>
      <c r="I46" s="14">
        <f>IF(OR(F46="",H46=""),"",F46*H46)</f>
        <v/>
      </c>
      <c r="J46" s="4" t="n"/>
      <c r="K46" s="6" t="n"/>
      <c r="L46" s="4" t="n"/>
    </row>
    <row r="47">
      <c r="A47" s="4" t="n"/>
      <c r="B47" s="4" t="n"/>
      <c r="C47" s="11" t="n"/>
      <c r="D47" s="4" t="n"/>
      <c r="E47" s="11" t="n"/>
      <c r="F47" s="12">
        <f>IF(C47="","",ROUNDUP(C47/IF(E47="",1,E47),0))</f>
        <v/>
      </c>
      <c r="G47" s="4" t="n"/>
      <c r="H47" s="13" t="n"/>
      <c r="I47" s="14">
        <f>IF(OR(F47="",H47=""),"",F47*H47)</f>
        <v/>
      </c>
      <c r="J47" s="4" t="n"/>
      <c r="K47" s="6" t="n"/>
      <c r="L47" s="4" t="n"/>
    </row>
    <row r="48">
      <c r="A48" s="4" t="n"/>
      <c r="B48" s="4" t="n"/>
      <c r="C48" s="11" t="n"/>
      <c r="D48" s="4" t="n"/>
      <c r="E48" s="11" t="n"/>
      <c r="F48" s="12">
        <f>IF(C48="","",ROUNDUP(C48/IF(E48="",1,E48),0))</f>
        <v/>
      </c>
      <c r="G48" s="4" t="n"/>
      <c r="H48" s="13" t="n"/>
      <c r="I48" s="14">
        <f>IF(OR(F48="",H48=""),"",F48*H48)</f>
        <v/>
      </c>
      <c r="J48" s="4" t="n"/>
      <c r="K48" s="6" t="n"/>
      <c r="L48" s="4" t="n"/>
    </row>
    <row r="49">
      <c r="A49" s="4" t="n"/>
      <c r="B49" s="4" t="n"/>
      <c r="C49" s="11" t="n"/>
      <c r="D49" s="4" t="n"/>
      <c r="E49" s="11" t="n"/>
      <c r="F49" s="12">
        <f>IF(C49="","",ROUNDUP(C49/IF(E49="",1,E49),0))</f>
        <v/>
      </c>
      <c r="G49" s="4" t="n"/>
      <c r="H49" s="13" t="n"/>
      <c r="I49" s="14">
        <f>IF(OR(F49="",H49=""),"",F49*H49)</f>
        <v/>
      </c>
      <c r="J49" s="4" t="n"/>
      <c r="K49" s="6" t="n"/>
      <c r="L49" s="4" t="n"/>
    </row>
    <row r="50">
      <c r="A50" s="4" t="n"/>
      <c r="B50" s="4" t="n"/>
      <c r="C50" s="11" t="n"/>
      <c r="D50" s="4" t="n"/>
      <c r="E50" s="11" t="n"/>
      <c r="F50" s="12">
        <f>IF(C50="","",ROUNDUP(C50/IF(E50="",1,E50),0))</f>
        <v/>
      </c>
      <c r="G50" s="4" t="n"/>
      <c r="H50" s="13" t="n"/>
      <c r="I50" s="14">
        <f>IF(OR(F50="",H50=""),"",F50*H50)</f>
        <v/>
      </c>
      <c r="J50" s="4" t="n"/>
      <c r="K50" s="6" t="n"/>
      <c r="L50" s="4" t="n"/>
    </row>
    <row r="51">
      <c r="A51" s="4" t="n"/>
      <c r="B51" s="4" t="n"/>
      <c r="C51" s="11" t="n"/>
      <c r="D51" s="4" t="n"/>
      <c r="E51" s="11" t="n"/>
      <c r="F51" s="12">
        <f>IF(C51="","",ROUNDUP(C51/IF(E51="",1,E51),0))</f>
        <v/>
      </c>
      <c r="G51" s="4" t="n"/>
      <c r="H51" s="13" t="n"/>
      <c r="I51" s="14">
        <f>IF(OR(F51="",H51=""),"",F51*H51)</f>
        <v/>
      </c>
      <c r="J51" s="4" t="n"/>
      <c r="K51" s="6" t="n"/>
      <c r="L51" s="4" t="n"/>
    </row>
    <row r="52">
      <c r="A52" s="4" t="n"/>
      <c r="B52" s="4" t="n"/>
      <c r="C52" s="11" t="n"/>
      <c r="D52" s="4" t="n"/>
      <c r="E52" s="11" t="n"/>
      <c r="F52" s="12">
        <f>IF(C52="","",ROUNDUP(C52/IF(E52="",1,E52),0))</f>
        <v/>
      </c>
      <c r="G52" s="4" t="n"/>
      <c r="H52" s="13" t="n"/>
      <c r="I52" s="14">
        <f>IF(OR(F52="",H52=""),"",F52*H52)</f>
        <v/>
      </c>
      <c r="J52" s="4" t="n"/>
      <c r="K52" s="6" t="n"/>
      <c r="L52" s="4" t="n"/>
    </row>
    <row r="53">
      <c r="A53" s="4" t="n"/>
      <c r="B53" s="4" t="n"/>
      <c r="C53" s="11" t="n"/>
      <c r="D53" s="4" t="n"/>
      <c r="E53" s="11" t="n"/>
      <c r="F53" s="12">
        <f>IF(C53="","",ROUNDUP(C53/IF(E53="",1,E53),0))</f>
        <v/>
      </c>
      <c r="G53" s="4" t="n"/>
      <c r="H53" s="13" t="n"/>
      <c r="I53" s="14">
        <f>IF(OR(F53="",H53=""),"",F53*H53)</f>
        <v/>
      </c>
      <c r="J53" s="4" t="n"/>
      <c r="K53" s="6" t="n"/>
      <c r="L53" s="4" t="n"/>
    </row>
    <row r="54">
      <c r="A54" s="4" t="n"/>
      <c r="B54" s="4" t="n"/>
      <c r="C54" s="11" t="n"/>
      <c r="D54" s="4" t="n"/>
      <c r="E54" s="11" t="n"/>
      <c r="F54" s="12">
        <f>IF(C54="","",ROUNDUP(C54/IF(E54="",1,E54),0))</f>
        <v/>
      </c>
      <c r="G54" s="4" t="n"/>
      <c r="H54" s="13" t="n"/>
      <c r="I54" s="14">
        <f>IF(OR(F54="",H54=""),"",F54*H54)</f>
        <v/>
      </c>
      <c r="J54" s="4" t="n"/>
      <c r="K54" s="6" t="n"/>
      <c r="L54" s="4" t="n"/>
    </row>
    <row r="55">
      <c r="A55" s="4" t="n"/>
      <c r="B55" s="4" t="n"/>
      <c r="C55" s="11" t="n"/>
      <c r="D55" s="4" t="n"/>
      <c r="E55" s="11" t="n"/>
      <c r="F55" s="12">
        <f>IF(C55="","",ROUNDUP(C55/IF(E55="",1,E55),0))</f>
        <v/>
      </c>
      <c r="G55" s="4" t="n"/>
      <c r="H55" s="13" t="n"/>
      <c r="I55" s="14">
        <f>IF(OR(F55="",H55=""),"",F55*H55)</f>
        <v/>
      </c>
      <c r="J55" s="4" t="n"/>
      <c r="K55" s="6" t="n"/>
      <c r="L55" s="4" t="n"/>
    </row>
    <row r="56">
      <c r="A56" s="4" t="n"/>
      <c r="B56" s="4" t="n"/>
      <c r="C56" s="11" t="n"/>
      <c r="D56" s="4" t="n"/>
      <c r="E56" s="11" t="n"/>
      <c r="F56" s="12">
        <f>IF(C56="","",ROUNDUP(C56/IF(E56="",1,E56),0))</f>
        <v/>
      </c>
      <c r="G56" s="4" t="n"/>
      <c r="H56" s="13" t="n"/>
      <c r="I56" s="14">
        <f>IF(OR(F56="",H56=""),"",F56*H56)</f>
        <v/>
      </c>
      <c r="J56" s="4" t="n"/>
      <c r="K56" s="6" t="n"/>
      <c r="L56" s="4" t="n"/>
    </row>
    <row r="57">
      <c r="A57" s="4" t="n"/>
      <c r="B57" s="4" t="n"/>
      <c r="C57" s="11" t="n"/>
      <c r="D57" s="4" t="n"/>
      <c r="E57" s="11" t="n"/>
      <c r="F57" s="12">
        <f>IF(C57="","",ROUNDUP(C57/IF(E57="",1,E57),0))</f>
        <v/>
      </c>
      <c r="G57" s="4" t="n"/>
      <c r="H57" s="13" t="n"/>
      <c r="I57" s="14">
        <f>IF(OR(F57="",H57=""),"",F57*H57)</f>
        <v/>
      </c>
      <c r="J57" s="4" t="n"/>
      <c r="K57" s="6" t="n"/>
      <c r="L57" s="4" t="n"/>
    </row>
    <row r="58">
      <c r="A58" s="4" t="n"/>
      <c r="B58" s="4" t="n"/>
      <c r="C58" s="11" t="n"/>
      <c r="D58" s="4" t="n"/>
      <c r="E58" s="11" t="n"/>
      <c r="F58" s="12">
        <f>IF(C58="","",ROUNDUP(C58/IF(E58="",1,E58),0))</f>
        <v/>
      </c>
      <c r="G58" s="4" t="n"/>
      <c r="H58" s="13" t="n"/>
      <c r="I58" s="14">
        <f>IF(OR(F58="",H58=""),"",F58*H58)</f>
        <v/>
      </c>
      <c r="J58" s="4" t="n"/>
      <c r="K58" s="6" t="n"/>
      <c r="L58" s="4" t="n"/>
    </row>
    <row r="59">
      <c r="A59" s="4" t="n"/>
      <c r="B59" s="4" t="n"/>
      <c r="C59" s="11" t="n"/>
      <c r="D59" s="4" t="n"/>
      <c r="E59" s="11" t="n"/>
      <c r="F59" s="12">
        <f>IF(C59="","",ROUNDUP(C59/IF(E59="",1,E59),0))</f>
        <v/>
      </c>
      <c r="G59" s="4" t="n"/>
      <c r="H59" s="13" t="n"/>
      <c r="I59" s="14">
        <f>IF(OR(F59="",H59=""),"",F59*H59)</f>
        <v/>
      </c>
      <c r="J59" s="4" t="n"/>
      <c r="K59" s="6" t="n"/>
      <c r="L59" s="4" t="n"/>
    </row>
    <row r="60">
      <c r="A60" s="4" t="n"/>
      <c r="B60" s="4" t="n"/>
      <c r="C60" s="11" t="n"/>
      <c r="D60" s="4" t="n"/>
      <c r="E60" s="11" t="n"/>
      <c r="F60" s="12">
        <f>IF(C60="","",ROUNDUP(C60/IF(E60="",1,E60),0))</f>
        <v/>
      </c>
      <c r="G60" s="4" t="n"/>
      <c r="H60" s="13" t="n"/>
      <c r="I60" s="14">
        <f>IF(OR(F60="",H60=""),"",F60*H60)</f>
        <v/>
      </c>
      <c r="J60" s="4" t="n"/>
      <c r="K60" s="6" t="n"/>
      <c r="L60" s="4" t="n"/>
    </row>
    <row r="61">
      <c r="A61" s="4" t="n"/>
      <c r="B61" s="4" t="n"/>
      <c r="C61" s="11" t="n"/>
      <c r="D61" s="4" t="n"/>
      <c r="E61" s="11" t="n"/>
      <c r="F61" s="12">
        <f>IF(C61="","",ROUNDUP(C61/IF(E61="",1,E61),0))</f>
        <v/>
      </c>
      <c r="G61" s="4" t="n"/>
      <c r="H61" s="13" t="n"/>
      <c r="I61" s="14">
        <f>IF(OR(F61="",H61=""),"",F61*H61)</f>
        <v/>
      </c>
      <c r="J61" s="4" t="n"/>
      <c r="K61" s="6" t="n"/>
      <c r="L61" s="4" t="n"/>
    </row>
    <row r="62">
      <c r="A62" s="4" t="n"/>
      <c r="B62" s="4" t="n"/>
      <c r="C62" s="11" t="n"/>
      <c r="D62" s="4" t="n"/>
      <c r="E62" s="11" t="n"/>
      <c r="F62" s="12">
        <f>IF(C62="","",ROUNDUP(C62/IF(E62="",1,E62),0))</f>
        <v/>
      </c>
      <c r="G62" s="4" t="n"/>
      <c r="H62" s="13" t="n"/>
      <c r="I62" s="14">
        <f>IF(OR(F62="",H62=""),"",F62*H62)</f>
        <v/>
      </c>
      <c r="J62" s="4" t="n"/>
      <c r="K62" s="6" t="n"/>
      <c r="L62" s="4" t="n"/>
    </row>
    <row r="63">
      <c r="A63" s="4" t="n"/>
      <c r="B63" s="4" t="n"/>
      <c r="C63" s="11" t="n"/>
      <c r="D63" s="4" t="n"/>
      <c r="E63" s="11" t="n"/>
      <c r="F63" s="12">
        <f>IF(C63="","",ROUNDUP(C63/IF(E63="",1,E63),0))</f>
        <v/>
      </c>
      <c r="G63" s="4" t="n"/>
      <c r="H63" s="13" t="n"/>
      <c r="I63" s="14">
        <f>IF(OR(F63="",H63=""),"",F63*H63)</f>
        <v/>
      </c>
      <c r="J63" s="4" t="n"/>
      <c r="K63" s="6" t="n"/>
      <c r="L63" s="4" t="n"/>
    </row>
    <row r="64">
      <c r="A64" s="4" t="n"/>
      <c r="B64" s="4" t="n"/>
      <c r="C64" s="11" t="n"/>
      <c r="D64" s="4" t="n"/>
      <c r="E64" s="11" t="n"/>
      <c r="F64" s="12">
        <f>IF(C64="","",ROUNDUP(C64/IF(E64="",1,E64),0))</f>
        <v/>
      </c>
      <c r="G64" s="4" t="n"/>
      <c r="H64" s="13" t="n"/>
      <c r="I64" s="14">
        <f>IF(OR(F64="",H64=""),"",F64*H64)</f>
        <v/>
      </c>
      <c r="J64" s="4" t="n"/>
      <c r="K64" s="6" t="n"/>
      <c r="L64" s="4" t="n"/>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2" customWidth="1" min="1" max="1"/>
    <col width="40" customWidth="1" min="2" max="2"/>
  </cols>
  <sheetData>
    <row r="1" ht="26" customHeight="1">
      <c r="A1" s="15" t="inlineStr">
        <is>
          <t>ESTIMATE SUMMARY</t>
        </is>
      </c>
    </row>
    <row r="3">
      <c r="A3" s="3" t="inlineStr">
        <is>
          <t>Project</t>
        </is>
      </c>
      <c r="B3" s="9">
        <f>Setup!B11</f>
        <v/>
      </c>
    </row>
    <row r="4">
      <c r="A4" s="3" t="inlineStr">
        <is>
          <t>Job</t>
        </is>
      </c>
      <c r="B4" s="9">
        <f>Setup!B14</f>
        <v/>
      </c>
    </row>
    <row r="5">
      <c r="A5" s="3" t="inlineStr">
        <is>
          <t>Prices from</t>
        </is>
      </c>
      <c r="B5" s="9">
        <f>Setup!B17&amp;IF(Setup!B18="",""," - "&amp;Setup!B18)</f>
        <v/>
      </c>
    </row>
    <row r="6">
      <c r="A6" s="3" t="inlineStr">
        <is>
          <t>Prices checked on</t>
        </is>
      </c>
      <c r="B6" s="16">
        <f>IF(Setup!B19="","",Setup!B19)</f>
        <v/>
      </c>
    </row>
    <row r="8">
      <c r="A8" s="3" t="inlineStr">
        <is>
          <t>Materials total (inc GST)</t>
        </is>
      </c>
      <c r="B8" s="17">
        <f>SUM(Materials!I5:I64)</f>
        <v/>
      </c>
    </row>
    <row r="9">
      <c r="A9" s="3" t="inlineStr">
        <is>
          <t>GST included</t>
        </is>
      </c>
      <c r="B9" s="14">
        <f>ROUND(B8/11,2)</f>
        <v/>
      </c>
    </row>
    <row r="10">
      <c r="A10" s="3" t="inlineStr">
        <is>
          <t>Materials total (ex GST)</t>
        </is>
      </c>
      <c r="B10" s="14">
        <f>B8-B9</f>
        <v/>
      </c>
    </row>
    <row r="12">
      <c r="A12" s="3" t="inlineStr">
        <is>
          <t>Items priced</t>
        </is>
      </c>
      <c r="B12" s="18">
        <f>COUNT(Materials!I5:I64)</f>
        <v/>
      </c>
    </row>
    <row r="13">
      <c r="A13" s="3" t="inlineStr">
        <is>
          <t>Items NOT priced (not in total)</t>
        </is>
      </c>
      <c r="B13" s="18">
        <f>COUNTA(Materials!A5:A64)-COUNT(Materials!I5:I64)</f>
        <v/>
      </c>
    </row>
    <row r="15">
      <c r="A15" s="3" t="inlineStr">
        <is>
          <t>ROM low (inc GST)</t>
        </is>
      </c>
      <c r="B15" s="17">
        <f>ROUND(B8*(1-Setup!B20/100),2)</f>
        <v/>
      </c>
    </row>
    <row r="16">
      <c r="A16" s="3" t="inlineStr">
        <is>
          <t>ROM high (inc GST)</t>
        </is>
      </c>
      <c r="B16" s="17">
        <f>ROUND(B8*(1+Setup!B21/100),2)</f>
        <v/>
      </c>
    </row>
    <row r="18">
      <c r="A18" s="2" t="inlineStr">
        <is>
          <t>A rough order of magnitude (ROM) for budgeting only. Read the Qualifications sheet before using these figures.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ht="26" customHeight="1">
      <c r="A1" s="15" t="inlineStr">
        <is>
          <t>QUALIFICATIONS</t>
        </is>
      </c>
    </row>
    <row r="3" ht="42" customHeight="1">
      <c r="A3" s="19" t="inlineStr">
        <is>
          <t>1. Bunnings prices are used as a guide only. They are retail prices including GST, for the store and date shown, and change over time and between stores.</t>
        </is>
      </c>
    </row>
    <row r="4" ht="42" customHeight="1">
      <c r="A4" s="19" t="inlineStr">
        <is>
          <t>2. Specialist suppliers (timber yards, plasterboard, tile and paint suppliers, concrete plants, trade accounts) often price better for larger quantities and may supply better grades or products. Get trade quotes before committing.</t>
        </is>
      </c>
    </row>
    <row r="5" ht="42" customHeight="1">
      <c r="A5" s="19" t="inlineStr">
        <is>
          <t>3. Quantities are a takeoff estimate using rules of thumb (spacings, coverage, waste). Check them against the drawings and the manufacturers' guides.</t>
        </is>
      </c>
    </row>
    <row r="6" ht="42" customHeight="1">
      <c r="A6" s="19" t="inlineStr">
        <is>
          <t>4. Excludes labour, delivery, equipment hire, waste removal, fees, engineering and contingency unless listed above.</t>
        </is>
      </c>
    </row>
    <row r="7" ht="42" customHeight="1">
      <c r="A7" s="19" t="inlineStr">
        <is>
          <t>5. Structural member sizes, spans and fixings must be confirmed from AS 1684, the supplier's span tables or an engineer. Products must suit the use (for example H3 or H4 treatment outdoors) and comply with the NCC.</t>
        </is>
      </c>
    </row>
    <row r="8" ht="42" customHeight="1">
      <c r="A8" s="19" t="inlineStr">
        <is>
          <t>6. Items marked NOT priced are not in the total.</t>
        </is>
      </c>
    </row>
    <row r="9" ht="42" customHeight="1">
      <c r="A9" s="19" t="inlineStr">
        <is>
          <t>7. The ROM range (default -15% / +30%) is for budgeting and deciding whether to proceed. It is not a quote or a fixed price.</t>
        </is>
      </c>
    </row>
  </sheetData>
  <mergeCells count="1">
    <mergeCell ref="A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100" customWidth="1" min="2" max="2"/>
  </cols>
  <sheetData>
    <row r="1" ht="26" customHeight="1">
      <c r="A1" s="1" t="inlineStr">
        <is>
          <t>HOW TO USE THIS MATERIALS ESTIMATE</t>
        </is>
      </c>
    </row>
    <row r="3">
      <c r="A3" s="8" t="inlineStr">
        <is>
          <t>1. Setup</t>
        </is>
      </c>
      <c r="B3" s="20" t="inlineStr">
        <is>
          <t>Enter business and project details, the pricing source, store and date checked.</t>
        </is>
      </c>
    </row>
    <row r="4">
      <c r="A4" s="8" t="inlineStr">
        <is>
          <t>2. Materials</t>
        </is>
      </c>
      <c r="B4" s="20" t="inlineStr">
        <is>
          <t>One row per item: quantity needed and its unit, the pack size (how many units one priced item holds; leave blank for 1), product or item number and unit price inc GST.</t>
        </is>
      </c>
    </row>
    <row r="5">
      <c r="A5" s="8" t="inlineStr">
        <is>
          <t>3. Packs</t>
        </is>
      </c>
      <c r="B5" s="20" t="inlineStr">
        <is>
          <t>Packs to Buy and Line Total calculate. Leave the price blank for items you haven't priced; they show as NOT priced.</t>
        </is>
      </c>
    </row>
    <row r="6">
      <c r="A6" s="8" t="inlineStr">
        <is>
          <t>4. Summary</t>
        </is>
      </c>
      <c r="B6" s="20" t="inlineStr">
        <is>
          <t>Shows the total inc and ex GST and the ROM range.</t>
        </is>
      </c>
    </row>
    <row r="7">
      <c r="A7" s="8" t="inlineStr">
        <is>
          <t>5. Qualifications</t>
        </is>
      </c>
      <c r="B7" s="20" t="inlineStr">
        <is>
          <t>Send these with any figure you give a client.</t>
        </is>
      </c>
    </row>
    <row r="10">
      <c r="A10" s="21" t="inlineStr">
        <is>
          <t>Yellow</t>
        </is>
      </c>
      <c r="B10" t="inlineStr">
        <is>
          <t>Input cells: enter your data here</t>
        </is>
      </c>
    </row>
    <row r="11">
      <c r="A11" s="22" t="inlineStr">
        <is>
          <t>Green</t>
        </is>
      </c>
      <c r="B11" t="inlineStr">
        <is>
          <t>Calculated: do not edit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2026-10-16T20:22:11Z</dcterms:created>
  <dcterms:modified xmlns:dcterms="http://purl.org/dc/terms/" xmlns:xsi="http://www.w3.org/2001/XMLSchema-instance" xsi:type="dcterms:W3CDTF">2026-10-16T20:22:11Z</dcterms:modified>
</cp:coreProperties>
</file>