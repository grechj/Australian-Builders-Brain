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etup" sheetId="1" state="visible" r:id="rId3"/>
    <sheet name="Variation Register" sheetId="2" state="visible" r:id="rId4"/>
    <sheet name="Summary" sheetId="3" state="visible" r:id="rId5"/>
    <sheet name="Instruction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<sst xmlns="http://schemas.openxmlformats.org/spreadsheetml/2006/main" count="94" uniqueCount="85">
  <si>
    <t xml:space="preserve">BUSINESS SETUP</t>
  </si>
  <si>
    <t xml:space="preserve">Enter your details - they will appear on the Summary dashboard.</t>
  </si>
  <si>
    <t xml:space="preserve">Business Name:</t>
  </si>
  <si>
    <t xml:space="preserve">ABN:</t>
  </si>
  <si>
    <t xml:space="preserve">Builder Licence:</t>
  </si>
  <si>
    <t xml:space="preserve">Address:</t>
  </si>
  <si>
    <t xml:space="preserve">Phone:</t>
  </si>
  <si>
    <t xml:space="preserve">Email:</t>
  </si>
  <si>
    <t xml:space="preserve">PROJECT SETUP</t>
  </si>
  <si>
    <t xml:space="preserve">Project Name:</t>
  </si>
  <si>
    <t xml:space="preserve">Project Address:</t>
  </si>
  <si>
    <t xml:space="preserve">Client Name:</t>
  </si>
  <si>
    <t xml:space="preserve">Contract Number:</t>
  </si>
  <si>
    <t xml:space="preserve">Contract Type:</t>
  </si>
  <si>
    <t xml:space="preserve">Original Contract Sum:</t>
  </si>
  <si>
    <t xml:space="preserve">Contract Date:</t>
  </si>
  <si>
    <t xml:space="preserve">Target Margin (%):</t>
  </si>
  <si>
    <t xml:space="preserve">VARIATION REGISTER</t>
  </si>
  <si>
    <t xml:space="preserve">Project:</t>
  </si>
  <si>
    <t xml:space="preserve">Client:</t>
  </si>
  <si>
    <t xml:space="preserve">Contract:</t>
  </si>
  <si>
    <t xml:space="preserve">Var No.</t>
  </si>
  <si>
    <t xml:space="preserve">Date Raised</t>
  </si>
  <si>
    <t xml:space="preserve">Description</t>
  </si>
  <si>
    <t xml:space="preserve">Reason</t>
  </si>
  <si>
    <t xml:space="preserve">Status</t>
  </si>
  <si>
    <t xml:space="preserve">Quoted ($)</t>
  </si>
  <si>
    <t xml:space="preserve">Actual ($)</t>
  </si>
  <si>
    <t xml:space="preserve">Margin ($)</t>
  </si>
  <si>
    <t xml:space="preserve">Margin %</t>
  </si>
  <si>
    <t xml:space="preserve">Days</t>
  </si>
  <si>
    <t xml:space="preserve">Approved</t>
  </si>
  <si>
    <t xml:space="preserve">Invoice</t>
  </si>
  <si>
    <t xml:space="preserve">Invoiced</t>
  </si>
  <si>
    <t xml:space="preserve">Notes</t>
  </si>
  <si>
    <t xml:space="preserve">VARIATION SUMMARY DASHBOARD</t>
  </si>
  <si>
    <t xml:space="preserve">Report Date:</t>
  </si>
  <si>
    <t xml:space="preserve">STATUS BREAKDOWN</t>
  </si>
  <si>
    <t xml:space="preserve">Requested</t>
  </si>
  <si>
    <t xml:space="preserve">Priced</t>
  </si>
  <si>
    <t xml:space="preserve">Rejected</t>
  </si>
  <si>
    <t xml:space="preserve">Paid</t>
  </si>
  <si>
    <t xml:space="preserve">TOTAL VARIATIONS</t>
  </si>
  <si>
    <t xml:space="preserve">FINANCIAL SUMMARY</t>
  </si>
  <si>
    <t xml:space="preserve">Total Quoted (All)</t>
  </si>
  <si>
    <t xml:space="preserve">Total Quoted (Approved+)</t>
  </si>
  <si>
    <t xml:space="preserve">Total Actual Cost</t>
  </si>
  <si>
    <t xml:space="preserve">Total Margin ($)</t>
  </si>
  <si>
    <t xml:space="preserve">Average Margin (%)</t>
  </si>
  <si>
    <t xml:space="preserve">Total Days Impact</t>
  </si>
  <si>
    <t xml:space="preserve">CONTRACT IMPACT</t>
  </si>
  <si>
    <t xml:space="preserve">Original Contract Sum</t>
  </si>
  <si>
    <t xml:space="preserve">Approved Variations</t>
  </si>
  <si>
    <t xml:space="preserve">Revised Contract Sum</t>
  </si>
  <si>
    <t xml:space="preserve">Variation % of Contract</t>
  </si>
  <si>
    <t xml:space="preserve">HOW TO USE THIS VARIATION REGISTER</t>
  </si>
  <si>
    <t xml:space="preserve">QUICK START</t>
  </si>
  <si>
    <t xml:space="preserve">1. Setup</t>
  </si>
  <si>
    <t xml:space="preserve">Enter your business and project details in the Setup sheet.</t>
  </si>
  <si>
    <t xml:space="preserve">2. New Variation</t>
  </si>
  <si>
    <t xml:space="preserve">On the Register, enter the date in column B - this activates the row.</t>
  </si>
  <si>
    <t xml:space="preserve">3. Details</t>
  </si>
  <si>
    <t xml:space="preserve">Fill in description, select reason and status from dropdowns.</t>
  </si>
  <si>
    <t xml:space="preserve">4. Costs</t>
  </si>
  <si>
    <t xml:space="preserve">Enter Quoted amount (to client) and Actual cost (your cost).</t>
  </si>
  <si>
    <t xml:space="preserve">5. Update</t>
  </si>
  <si>
    <t xml:space="preserve">Keep status current as variations progress through approval.</t>
  </si>
  <si>
    <t xml:space="preserve">6. Review</t>
  </si>
  <si>
    <t xml:space="preserve">Check the Summary dashboard for totals and margin performance.</t>
  </si>
  <si>
    <t xml:space="preserve">STATUS WORKFLOW</t>
  </si>
  <si>
    <t xml:space="preserve">Client has asked for a change</t>
  </si>
  <si>
    <t xml:space="preserve">You have issued a Priced Variation Notice</t>
  </si>
  <si>
    <t xml:space="preserve">Client has signed approval</t>
  </si>
  <si>
    <t xml:space="preserve">Client declined the variation</t>
  </si>
  <si>
    <t xml:space="preserve">Included in a progress claim</t>
  </si>
  <si>
    <t xml:space="preserve">Payment received</t>
  </si>
  <si>
    <t xml:space="preserve">CELL COLOURS</t>
  </si>
  <si>
    <t xml:space="preserve">Yellow</t>
  </si>
  <si>
    <t xml:space="preserve">Input cells - enter your data here</t>
  </si>
  <si>
    <t xml:space="preserve">Green</t>
  </si>
  <si>
    <t xml:space="preserve">Calculated fields - do not edit (formulas will break)</t>
  </si>
  <si>
    <t xml:space="preserve">TIPS</t>
  </si>
  <si>
    <t xml:space="preserve">- Margin calculates automatically from Quoted minus Actual</t>
  </si>
  <si>
    <t xml:space="preserve">- The Summary shows only Approved/Invoiced/Paid in contract totals</t>
  </si>
  <si>
    <t xml:space="preserve">- Back up this file regularly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</si>
</sst>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\$#,##0.00"/>
    <numFmt numFmtId="166" formatCode="dd/mm/yyyy"/>
    <numFmt numFmtId="167" formatCode="0%"/>
    <numFmt numFmtId="168" formatCode="General"/>
    <numFmt numFmtId="169" formatCode="0.0%"/>
    <numFmt numFmtId="170" formatCode="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6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4"/>
      <color rgb="FFFFFFFF"/>
      <name val="Arial"/>
      <family val="0"/>
      <charset val="1"/>
    </font>
    <font>
      <b val="true"/>
      <sz val="10"/>
      <color rgb="FF003366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003366"/>
        <bgColor rgb="FF333399"/>
      </patternFill>
    </fill>
    <fill>
      <patternFill patternType="solid">
        <fgColor rgb="FFF5F5F5"/>
        <bgColor rgb="FFE8F5E9"/>
      </patternFill>
    </fill>
    <fill>
      <patternFill patternType="solid">
        <fgColor rgb="FFFFFBCC"/>
        <bgColor rgb="FFF5F5F5"/>
      </patternFill>
    </fill>
    <fill>
      <patternFill patternType="solid">
        <fgColor rgb="FFE8F5E9"/>
        <bgColor rgb="FFF5F5F5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6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BCC"/>
      <rgbColor rgb="FFE8F5E9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5F5F5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42"/>
  </cols>
  <sheetData>
    <row r="1" customFormat="false" ht="27.75" hidden="false" customHeight="true" outlineLevel="0" collapsed="false">
      <c r="A1" s="1" t="s">
        <v>0</v>
      </c>
      <c r="B1" s="1"/>
    </row>
    <row r="2" customFormat="false" ht="15" hidden="false" customHeight="false" outlineLevel="0" collapsed="false">
      <c r="A2" s="2" t="s">
        <v>1</v>
      </c>
      <c r="B2" s="2"/>
    </row>
    <row r="4" customFormat="false" ht="21.75" hidden="false" customHeight="true" outlineLevel="0" collapsed="false">
      <c r="A4" s="3" t="s">
        <v>2</v>
      </c>
      <c r="B4" s="4"/>
    </row>
    <row r="5" customFormat="false" ht="21.75" hidden="false" customHeight="true" outlineLevel="0" collapsed="false">
      <c r="A5" s="3" t="s">
        <v>3</v>
      </c>
      <c r="B5" s="4"/>
    </row>
    <row r="6" customFormat="false" ht="21.75" hidden="false" customHeight="true" outlineLevel="0" collapsed="false">
      <c r="A6" s="3" t="s">
        <v>4</v>
      </c>
      <c r="B6" s="4"/>
    </row>
    <row r="7" customFormat="false" ht="21.75" hidden="false" customHeight="true" outlineLevel="0" collapsed="false">
      <c r="A7" s="3" t="s">
        <v>5</v>
      </c>
      <c r="B7" s="4"/>
    </row>
    <row r="8" customFormat="false" ht="21.75" hidden="false" customHeight="true" outlineLevel="0" collapsed="false">
      <c r="A8" s="3" t="s">
        <v>6</v>
      </c>
      <c r="B8" s="4"/>
    </row>
    <row r="9" customFormat="false" ht="21.75" hidden="false" customHeight="true" outlineLevel="0" collapsed="false">
      <c r="A9" s="3" t="s">
        <v>7</v>
      </c>
      <c r="B9" s="4"/>
    </row>
    <row r="11" customFormat="false" ht="27.75" hidden="false" customHeight="true" outlineLevel="0" collapsed="false">
      <c r="A11" s="1" t="s">
        <v>8</v>
      </c>
      <c r="B11" s="1"/>
    </row>
    <row r="13" customFormat="false" ht="21.75" hidden="false" customHeight="true" outlineLevel="0" collapsed="false">
      <c r="A13" s="3" t="s">
        <v>9</v>
      </c>
      <c r="B13" s="4"/>
    </row>
    <row r="14" customFormat="false" ht="21.75" hidden="false" customHeight="true" outlineLevel="0" collapsed="false">
      <c r="A14" s="3" t="s">
        <v>10</v>
      </c>
      <c r="B14" s="4"/>
    </row>
    <row r="15" customFormat="false" ht="21.75" hidden="false" customHeight="true" outlineLevel="0" collapsed="false">
      <c r="A15" s="3" t="s">
        <v>11</v>
      </c>
      <c r="B15" s="4"/>
    </row>
    <row r="16" customFormat="false" ht="21.75" hidden="false" customHeight="true" outlineLevel="0" collapsed="false">
      <c r="A16" s="3" t="s">
        <v>12</v>
      </c>
      <c r="B16" s="4"/>
    </row>
    <row r="17" customFormat="false" ht="21.75" hidden="false" customHeight="true" outlineLevel="0" collapsed="false">
      <c r="A17" s="3" t="s">
        <v>13</v>
      </c>
      <c r="B17" s="4"/>
    </row>
    <row r="18" customFormat="false" ht="21.75" hidden="false" customHeight="true" outlineLevel="0" collapsed="false">
      <c r="A18" s="3" t="s">
        <v>14</v>
      </c>
      <c r="B18" s="5"/>
    </row>
    <row r="19" customFormat="false" ht="21.75" hidden="false" customHeight="true" outlineLevel="0" collapsed="false">
      <c r="A19" s="3" t="s">
        <v>15</v>
      </c>
      <c r="B19" s="6"/>
    </row>
    <row r="20" customFormat="false" ht="21.75" hidden="false" customHeight="true" outlineLevel="0" collapsed="false">
      <c r="A20" s="3" t="s">
        <v>16</v>
      </c>
      <c r="B20" s="7" t="n">
        <v>0.2</v>
      </c>
    </row>
  </sheetData>
  <mergeCells count="3">
    <mergeCell ref="A1:B1"/>
    <mergeCell ref="A2:B2"/>
    <mergeCell ref="A11:B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38"/>
    <col collapsed="false" customWidth="true" hidden="false" outlineLevel="0" max="4" min="4" style="0" width="16"/>
    <col collapsed="false" customWidth="true" hidden="false" outlineLevel="0" max="8" min="5" style="0" width="13"/>
    <col collapsed="false" customWidth="true" hidden="false" outlineLevel="0" max="9" min="9" style="0" width="10"/>
    <col collapsed="false" customWidth="true" hidden="false" outlineLevel="0" max="10" min="10" style="0" width="8"/>
    <col collapsed="false" customWidth="true" hidden="false" outlineLevel="0" max="11" min="11" style="0" width="12"/>
    <col collapsed="false" customWidth="true" hidden="false" outlineLevel="0" max="12" min="12" style="0" width="10"/>
    <col collapsed="false" customWidth="true" hidden="false" outlineLevel="0" max="13" min="13" style="0" width="12"/>
    <col collapsed="false" customWidth="true" hidden="false" outlineLevel="0" max="14" min="14" style="0" width="28"/>
  </cols>
  <sheetData>
    <row r="1" customFormat="false" ht="31.5" hidden="false" customHeight="true" outlineLevel="0" collapsed="false">
      <c r="A1" s="8" t="s">
        <v>17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customFormat="false" ht="15" hidden="false" customHeight="false" outlineLevel="0" collapsed="false">
      <c r="A2" s="9" t="s">
        <v>18</v>
      </c>
      <c r="B2" s="10" t="n">
        <f aca="false">Setup!B13</f>
        <v>0</v>
      </c>
      <c r="E2" s="9" t="s">
        <v>19</v>
      </c>
      <c r="F2" s="10" t="n">
        <f aca="false">Setup!B15</f>
        <v>0</v>
      </c>
      <c r="I2" s="9" t="s">
        <v>20</v>
      </c>
      <c r="J2" s="10" t="n">
        <f aca="false">Setup!B16</f>
        <v>0</v>
      </c>
    </row>
    <row r="4" customFormat="false" ht="27.75" hidden="false" customHeight="true" outlineLevel="0" collapsed="false">
      <c r="A4" s="11" t="s">
        <v>21</v>
      </c>
      <c r="B4" s="11" t="s">
        <v>22</v>
      </c>
      <c r="C4" s="11" t="s">
        <v>23</v>
      </c>
      <c r="D4" s="11" t="s">
        <v>24</v>
      </c>
      <c r="E4" s="11" t="s">
        <v>25</v>
      </c>
      <c r="F4" s="11" t="s">
        <v>26</v>
      </c>
      <c r="G4" s="11" t="s">
        <v>27</v>
      </c>
      <c r="H4" s="11" t="s">
        <v>28</v>
      </c>
      <c r="I4" s="11" t="s">
        <v>29</v>
      </c>
      <c r="J4" s="11" t="s">
        <v>30</v>
      </c>
      <c r="K4" s="11" t="s">
        <v>31</v>
      </c>
      <c r="L4" s="11" t="s">
        <v>32</v>
      </c>
      <c r="M4" s="11" t="s">
        <v>33</v>
      </c>
      <c r="N4" s="11" t="s">
        <v>34</v>
      </c>
    </row>
    <row r="5" customFormat="false" ht="27.75" hidden="false" customHeight="true" outlineLevel="0" collapsed="false">
      <c r="A5" s="12" t="str">
        <f aca="false">IF(B5="","","VAR-"&amp;TEXT(ROW()-4,"000"))</f>
        <v/>
      </c>
      <c r="B5" s="6"/>
      <c r="C5" s="13"/>
      <c r="D5" s="4"/>
      <c r="E5" s="4"/>
      <c r="F5" s="5"/>
      <c r="G5" s="5"/>
      <c r="H5" s="14" t="str">
        <f aca="false">IF(OR(F5="",G5=""),"",F5-G5)</f>
        <v/>
      </c>
      <c r="I5" s="15" t="str">
        <f aca="false">IF(OR(F5="",F5=0),"",H5/F5)</f>
        <v/>
      </c>
      <c r="J5" s="16"/>
      <c r="K5" s="6"/>
      <c r="L5" s="4"/>
      <c r="M5" s="6"/>
      <c r="N5" s="13"/>
    </row>
    <row r="6" customFormat="false" ht="27.75" hidden="false" customHeight="true" outlineLevel="0" collapsed="false">
      <c r="A6" s="12" t="str">
        <f aca="false">IF(B6="","","VAR-"&amp;TEXT(ROW()-4,"000"))</f>
        <v/>
      </c>
      <c r="B6" s="6"/>
      <c r="C6" s="13"/>
      <c r="D6" s="4"/>
      <c r="E6" s="4"/>
      <c r="F6" s="5"/>
      <c r="G6" s="5"/>
      <c r="H6" s="14" t="str">
        <f aca="false">IF(OR(F6="",G6=""),"",F6-G6)</f>
        <v/>
      </c>
      <c r="I6" s="15" t="str">
        <f aca="false">IF(OR(F6="",F6=0),"",H6/F6)</f>
        <v/>
      </c>
      <c r="J6" s="16"/>
      <c r="K6" s="6"/>
      <c r="L6" s="4"/>
      <c r="M6" s="6"/>
      <c r="N6" s="13"/>
    </row>
    <row r="7" customFormat="false" ht="27.75" hidden="false" customHeight="true" outlineLevel="0" collapsed="false">
      <c r="A7" s="12" t="str">
        <f aca="false">IF(B7="","","VAR-"&amp;TEXT(ROW()-4,"000"))</f>
        <v/>
      </c>
      <c r="B7" s="6"/>
      <c r="C7" s="13"/>
      <c r="D7" s="4"/>
      <c r="E7" s="4"/>
      <c r="F7" s="5"/>
      <c r="G7" s="5"/>
      <c r="H7" s="14" t="str">
        <f aca="false">IF(OR(F7="",G7=""),"",F7-G7)</f>
        <v/>
      </c>
      <c r="I7" s="15" t="str">
        <f aca="false">IF(OR(F7="",F7=0),"",H7/F7)</f>
        <v/>
      </c>
      <c r="J7" s="16"/>
      <c r="K7" s="6"/>
      <c r="L7" s="4"/>
      <c r="M7" s="6"/>
      <c r="N7" s="13"/>
    </row>
    <row r="8" customFormat="false" ht="27.75" hidden="false" customHeight="true" outlineLevel="0" collapsed="false">
      <c r="A8" s="12" t="str">
        <f aca="false">IF(B8="","","VAR-"&amp;TEXT(ROW()-4,"000"))</f>
        <v/>
      </c>
      <c r="B8" s="6"/>
      <c r="C8" s="13"/>
      <c r="D8" s="4"/>
      <c r="E8" s="4"/>
      <c r="F8" s="5"/>
      <c r="G8" s="5"/>
      <c r="H8" s="14" t="str">
        <f aca="false">IF(OR(F8="",G8=""),"",F8-G8)</f>
        <v/>
      </c>
      <c r="I8" s="15" t="str">
        <f aca="false">IF(OR(F8="",F8=0),"",H8/F8)</f>
        <v/>
      </c>
      <c r="J8" s="16"/>
      <c r="K8" s="6"/>
      <c r="L8" s="4"/>
      <c r="M8" s="6"/>
      <c r="N8" s="13"/>
    </row>
    <row r="9" customFormat="false" ht="27.75" hidden="false" customHeight="true" outlineLevel="0" collapsed="false">
      <c r="A9" s="12" t="str">
        <f aca="false">IF(B9="","","VAR-"&amp;TEXT(ROW()-4,"000"))</f>
        <v/>
      </c>
      <c r="B9" s="6"/>
      <c r="C9" s="13"/>
      <c r="D9" s="4"/>
      <c r="E9" s="4"/>
      <c r="F9" s="5"/>
      <c r="G9" s="5"/>
      <c r="H9" s="14" t="str">
        <f aca="false">IF(OR(F9="",G9=""),"",F9-G9)</f>
        <v/>
      </c>
      <c r="I9" s="15" t="str">
        <f aca="false">IF(OR(F9="",F9=0),"",H9/F9)</f>
        <v/>
      </c>
      <c r="J9" s="16"/>
      <c r="K9" s="6"/>
      <c r="L9" s="4"/>
      <c r="M9" s="6"/>
      <c r="N9" s="13"/>
    </row>
    <row r="10" customFormat="false" ht="27.75" hidden="false" customHeight="true" outlineLevel="0" collapsed="false">
      <c r="A10" s="12" t="str">
        <f aca="false">IF(B10="","","VAR-"&amp;TEXT(ROW()-4,"000"))</f>
        <v/>
      </c>
      <c r="B10" s="6"/>
      <c r="C10" s="13"/>
      <c r="D10" s="4"/>
      <c r="E10" s="4"/>
      <c r="F10" s="5"/>
      <c r="G10" s="5"/>
      <c r="H10" s="14" t="str">
        <f aca="false">IF(OR(F10="",G10=""),"",F10-G10)</f>
        <v/>
      </c>
      <c r="I10" s="15" t="str">
        <f aca="false">IF(OR(F10="",F10=0),"",H10/F10)</f>
        <v/>
      </c>
      <c r="J10" s="16"/>
      <c r="K10" s="6"/>
      <c r="L10" s="4"/>
      <c r="M10" s="6"/>
      <c r="N10" s="13"/>
    </row>
    <row r="11" customFormat="false" ht="27.75" hidden="false" customHeight="true" outlineLevel="0" collapsed="false">
      <c r="A11" s="12" t="str">
        <f aca="false">IF(B11="","","VAR-"&amp;TEXT(ROW()-4,"000"))</f>
        <v/>
      </c>
      <c r="B11" s="6"/>
      <c r="C11" s="13"/>
      <c r="D11" s="4"/>
      <c r="E11" s="4"/>
      <c r="F11" s="5"/>
      <c r="G11" s="5"/>
      <c r="H11" s="14" t="str">
        <f aca="false">IF(OR(F11="",G11=""),"",F11-G11)</f>
        <v/>
      </c>
      <c r="I11" s="15" t="str">
        <f aca="false">IF(OR(F11="",F11=0),"",H11/F11)</f>
        <v/>
      </c>
      <c r="J11" s="16"/>
      <c r="K11" s="6"/>
      <c r="L11" s="4"/>
      <c r="M11" s="6"/>
      <c r="N11" s="13"/>
    </row>
    <row r="12" customFormat="false" ht="27.75" hidden="false" customHeight="true" outlineLevel="0" collapsed="false">
      <c r="A12" s="12" t="str">
        <f aca="false">IF(B12="","","VAR-"&amp;TEXT(ROW()-4,"000"))</f>
        <v/>
      </c>
      <c r="B12" s="6"/>
      <c r="C12" s="13"/>
      <c r="D12" s="4"/>
      <c r="E12" s="4"/>
      <c r="F12" s="5"/>
      <c r="G12" s="5"/>
      <c r="H12" s="14" t="str">
        <f aca="false">IF(OR(F12="",G12=""),"",F12-G12)</f>
        <v/>
      </c>
      <c r="I12" s="15" t="str">
        <f aca="false">IF(OR(F12="",F12=0),"",H12/F12)</f>
        <v/>
      </c>
      <c r="J12" s="16"/>
      <c r="K12" s="6"/>
      <c r="L12" s="4"/>
      <c r="M12" s="6"/>
      <c r="N12" s="13"/>
    </row>
    <row r="13" customFormat="false" ht="27.75" hidden="false" customHeight="true" outlineLevel="0" collapsed="false">
      <c r="A13" s="12" t="str">
        <f aca="false">IF(B13="","","VAR-"&amp;TEXT(ROW()-4,"000"))</f>
        <v/>
      </c>
      <c r="B13" s="6"/>
      <c r="C13" s="13"/>
      <c r="D13" s="4"/>
      <c r="E13" s="4"/>
      <c r="F13" s="5"/>
      <c r="G13" s="5"/>
      <c r="H13" s="14" t="str">
        <f aca="false">IF(OR(F13="",G13=""),"",F13-G13)</f>
        <v/>
      </c>
      <c r="I13" s="15" t="str">
        <f aca="false">IF(OR(F13="",F13=0),"",H13/F13)</f>
        <v/>
      </c>
      <c r="J13" s="16"/>
      <c r="K13" s="6"/>
      <c r="L13" s="4"/>
      <c r="M13" s="6"/>
      <c r="N13" s="13"/>
    </row>
    <row r="14" customFormat="false" ht="27.75" hidden="false" customHeight="true" outlineLevel="0" collapsed="false">
      <c r="A14" s="12" t="str">
        <f aca="false">IF(B14="","","VAR-"&amp;TEXT(ROW()-4,"000"))</f>
        <v/>
      </c>
      <c r="B14" s="6"/>
      <c r="C14" s="13"/>
      <c r="D14" s="4"/>
      <c r="E14" s="4"/>
      <c r="F14" s="5"/>
      <c r="G14" s="5"/>
      <c r="H14" s="14" t="str">
        <f aca="false">IF(OR(F14="",G14=""),"",F14-G14)</f>
        <v/>
      </c>
      <c r="I14" s="15" t="str">
        <f aca="false">IF(OR(F14="",F14=0),"",H14/F14)</f>
        <v/>
      </c>
      <c r="J14" s="16"/>
      <c r="K14" s="6"/>
      <c r="L14" s="4"/>
      <c r="M14" s="6"/>
      <c r="N14" s="13"/>
    </row>
    <row r="15" customFormat="false" ht="27.75" hidden="false" customHeight="true" outlineLevel="0" collapsed="false">
      <c r="A15" s="12" t="str">
        <f aca="false">IF(B15="","","VAR-"&amp;TEXT(ROW()-4,"000"))</f>
        <v/>
      </c>
      <c r="B15" s="6"/>
      <c r="C15" s="13"/>
      <c r="D15" s="4"/>
      <c r="E15" s="4"/>
      <c r="F15" s="5"/>
      <c r="G15" s="5"/>
      <c r="H15" s="14" t="str">
        <f aca="false">IF(OR(F15="",G15=""),"",F15-G15)</f>
        <v/>
      </c>
      <c r="I15" s="15" t="str">
        <f aca="false">IF(OR(F15="",F15=0),"",H15/F15)</f>
        <v/>
      </c>
      <c r="J15" s="16"/>
      <c r="K15" s="6"/>
      <c r="L15" s="4"/>
      <c r="M15" s="6"/>
      <c r="N15" s="13"/>
    </row>
    <row r="16" customFormat="false" ht="27.75" hidden="false" customHeight="true" outlineLevel="0" collapsed="false">
      <c r="A16" s="12" t="str">
        <f aca="false">IF(B16="","","VAR-"&amp;TEXT(ROW()-4,"000"))</f>
        <v/>
      </c>
      <c r="B16" s="6"/>
      <c r="C16" s="13"/>
      <c r="D16" s="4"/>
      <c r="E16" s="4"/>
      <c r="F16" s="5"/>
      <c r="G16" s="5"/>
      <c r="H16" s="14" t="str">
        <f aca="false">IF(OR(F16="",G16=""),"",F16-G16)</f>
        <v/>
      </c>
      <c r="I16" s="15" t="str">
        <f aca="false">IF(OR(F16="",F16=0),"",H16/F16)</f>
        <v/>
      </c>
      <c r="J16" s="16"/>
      <c r="K16" s="6"/>
      <c r="L16" s="4"/>
      <c r="M16" s="6"/>
      <c r="N16" s="13"/>
    </row>
    <row r="17" customFormat="false" ht="27.75" hidden="false" customHeight="true" outlineLevel="0" collapsed="false">
      <c r="A17" s="12" t="str">
        <f aca="false">IF(B17="","","VAR-"&amp;TEXT(ROW()-4,"000"))</f>
        <v/>
      </c>
      <c r="B17" s="6"/>
      <c r="C17" s="13"/>
      <c r="D17" s="4"/>
      <c r="E17" s="4"/>
      <c r="F17" s="5"/>
      <c r="G17" s="5"/>
      <c r="H17" s="14" t="str">
        <f aca="false">IF(OR(F17="",G17=""),"",F17-G17)</f>
        <v/>
      </c>
      <c r="I17" s="15" t="str">
        <f aca="false">IF(OR(F17="",F17=0),"",H17/F17)</f>
        <v/>
      </c>
      <c r="J17" s="16"/>
      <c r="K17" s="6"/>
      <c r="L17" s="4"/>
      <c r="M17" s="6"/>
      <c r="N17" s="13"/>
    </row>
    <row r="18" customFormat="false" ht="27.75" hidden="false" customHeight="true" outlineLevel="0" collapsed="false">
      <c r="A18" s="12" t="str">
        <f aca="false">IF(B18="","","VAR-"&amp;TEXT(ROW()-4,"000"))</f>
        <v/>
      </c>
      <c r="B18" s="6"/>
      <c r="C18" s="13"/>
      <c r="D18" s="4"/>
      <c r="E18" s="4"/>
      <c r="F18" s="5"/>
      <c r="G18" s="5"/>
      <c r="H18" s="14" t="str">
        <f aca="false">IF(OR(F18="",G18=""),"",F18-G18)</f>
        <v/>
      </c>
      <c r="I18" s="15" t="str">
        <f aca="false">IF(OR(F18="",F18=0),"",H18/F18)</f>
        <v/>
      </c>
      <c r="J18" s="16"/>
      <c r="K18" s="6"/>
      <c r="L18" s="4"/>
      <c r="M18" s="6"/>
      <c r="N18" s="13"/>
    </row>
    <row r="19" customFormat="false" ht="27.75" hidden="false" customHeight="true" outlineLevel="0" collapsed="false">
      <c r="A19" s="12" t="str">
        <f aca="false">IF(B19="","","VAR-"&amp;TEXT(ROW()-4,"000"))</f>
        <v/>
      </c>
      <c r="B19" s="6"/>
      <c r="C19" s="13"/>
      <c r="D19" s="4"/>
      <c r="E19" s="4"/>
      <c r="F19" s="5"/>
      <c r="G19" s="5"/>
      <c r="H19" s="14" t="str">
        <f aca="false">IF(OR(F19="",G19=""),"",F19-G19)</f>
        <v/>
      </c>
      <c r="I19" s="15" t="str">
        <f aca="false">IF(OR(F19="",F19=0),"",H19/F19)</f>
        <v/>
      </c>
      <c r="J19" s="16"/>
      <c r="K19" s="6"/>
      <c r="L19" s="4"/>
      <c r="M19" s="6"/>
      <c r="N19" s="13"/>
    </row>
    <row r="20" customFormat="false" ht="27.75" hidden="false" customHeight="true" outlineLevel="0" collapsed="false">
      <c r="A20" s="12" t="str">
        <f aca="false">IF(B20="","","VAR-"&amp;TEXT(ROW()-4,"000"))</f>
        <v/>
      </c>
      <c r="B20" s="6"/>
      <c r="C20" s="13"/>
      <c r="D20" s="4"/>
      <c r="E20" s="4"/>
      <c r="F20" s="5"/>
      <c r="G20" s="5"/>
      <c r="H20" s="14" t="str">
        <f aca="false">IF(OR(F20="",G20=""),"",F20-G20)</f>
        <v/>
      </c>
      <c r="I20" s="15" t="str">
        <f aca="false">IF(OR(F20="",F20=0),"",H20/F20)</f>
        <v/>
      </c>
      <c r="J20" s="16"/>
      <c r="K20" s="6"/>
      <c r="L20" s="4"/>
      <c r="M20" s="6"/>
      <c r="N20" s="13"/>
    </row>
    <row r="21" customFormat="false" ht="27.75" hidden="false" customHeight="true" outlineLevel="0" collapsed="false">
      <c r="A21" s="12" t="str">
        <f aca="false">IF(B21="","","VAR-"&amp;TEXT(ROW()-4,"000"))</f>
        <v/>
      </c>
      <c r="B21" s="6"/>
      <c r="C21" s="13"/>
      <c r="D21" s="4"/>
      <c r="E21" s="4"/>
      <c r="F21" s="5"/>
      <c r="G21" s="5"/>
      <c r="H21" s="14" t="str">
        <f aca="false">IF(OR(F21="",G21=""),"",F21-G21)</f>
        <v/>
      </c>
      <c r="I21" s="15" t="str">
        <f aca="false">IF(OR(F21="",F21=0),"",H21/F21)</f>
        <v/>
      </c>
      <c r="J21" s="16"/>
      <c r="K21" s="6"/>
      <c r="L21" s="4"/>
      <c r="M21" s="6"/>
      <c r="N21" s="13"/>
    </row>
    <row r="22" customFormat="false" ht="27.75" hidden="false" customHeight="true" outlineLevel="0" collapsed="false">
      <c r="A22" s="12" t="str">
        <f aca="false">IF(B22="","","VAR-"&amp;TEXT(ROW()-4,"000"))</f>
        <v/>
      </c>
      <c r="B22" s="6"/>
      <c r="C22" s="13"/>
      <c r="D22" s="4"/>
      <c r="E22" s="4"/>
      <c r="F22" s="5"/>
      <c r="G22" s="5"/>
      <c r="H22" s="14" t="str">
        <f aca="false">IF(OR(F22="",G22=""),"",F22-G22)</f>
        <v/>
      </c>
      <c r="I22" s="15" t="str">
        <f aca="false">IF(OR(F22="",F22=0),"",H22/F22)</f>
        <v/>
      </c>
      <c r="J22" s="16"/>
      <c r="K22" s="6"/>
      <c r="L22" s="4"/>
      <c r="M22" s="6"/>
      <c r="N22" s="13"/>
    </row>
    <row r="23" customFormat="false" ht="27.75" hidden="false" customHeight="true" outlineLevel="0" collapsed="false">
      <c r="A23" s="12" t="str">
        <f aca="false">IF(B23="","","VAR-"&amp;TEXT(ROW()-4,"000"))</f>
        <v/>
      </c>
      <c r="B23" s="6"/>
      <c r="C23" s="13"/>
      <c r="D23" s="4"/>
      <c r="E23" s="4"/>
      <c r="F23" s="5"/>
      <c r="G23" s="5"/>
      <c r="H23" s="14" t="str">
        <f aca="false">IF(OR(F23="",G23=""),"",F23-G23)</f>
        <v/>
      </c>
      <c r="I23" s="15" t="str">
        <f aca="false">IF(OR(F23="",F23=0),"",H23/F23)</f>
        <v/>
      </c>
      <c r="J23" s="16"/>
      <c r="K23" s="6"/>
      <c r="L23" s="4"/>
      <c r="M23" s="6"/>
      <c r="N23" s="13"/>
    </row>
    <row r="24" customFormat="false" ht="27.75" hidden="false" customHeight="true" outlineLevel="0" collapsed="false">
      <c r="A24" s="12" t="str">
        <f aca="false">IF(B24="","","VAR-"&amp;TEXT(ROW()-4,"000"))</f>
        <v/>
      </c>
      <c r="B24" s="6"/>
      <c r="C24" s="13"/>
      <c r="D24" s="4"/>
      <c r="E24" s="4"/>
      <c r="F24" s="5"/>
      <c r="G24" s="5"/>
      <c r="H24" s="14" t="str">
        <f aca="false">IF(OR(F24="",G24=""),"",F24-G24)</f>
        <v/>
      </c>
      <c r="I24" s="15" t="str">
        <f aca="false">IF(OR(F24="",F24=0),"",H24/F24)</f>
        <v/>
      </c>
      <c r="J24" s="16"/>
      <c r="K24" s="6"/>
      <c r="L24" s="4"/>
      <c r="M24" s="6"/>
      <c r="N24" s="13"/>
    </row>
    <row r="25" customFormat="false" ht="27.75" hidden="false" customHeight="true" outlineLevel="0" collapsed="false">
      <c r="A25" s="12" t="str">
        <f aca="false">IF(B25="","","VAR-"&amp;TEXT(ROW()-4,"000"))</f>
        <v/>
      </c>
      <c r="B25" s="6"/>
      <c r="C25" s="13"/>
      <c r="D25" s="4"/>
      <c r="E25" s="4"/>
      <c r="F25" s="5"/>
      <c r="G25" s="5"/>
      <c r="H25" s="14" t="str">
        <f aca="false">IF(OR(F25="",G25=""),"",F25-G25)</f>
        <v/>
      </c>
      <c r="I25" s="15" t="str">
        <f aca="false">IF(OR(F25="",F25=0),"",H25/F25)</f>
        <v/>
      </c>
      <c r="J25" s="16"/>
      <c r="K25" s="6"/>
      <c r="L25" s="4"/>
      <c r="M25" s="6"/>
      <c r="N25" s="13"/>
    </row>
    <row r="26" customFormat="false" ht="27.75" hidden="false" customHeight="true" outlineLevel="0" collapsed="false">
      <c r="A26" s="12" t="str">
        <f aca="false">IF(B26="","","VAR-"&amp;TEXT(ROW()-4,"000"))</f>
        <v/>
      </c>
      <c r="B26" s="6"/>
      <c r="C26" s="13"/>
      <c r="D26" s="4"/>
      <c r="E26" s="4"/>
      <c r="F26" s="5"/>
      <c r="G26" s="5"/>
      <c r="H26" s="14" t="str">
        <f aca="false">IF(OR(F26="",G26=""),"",F26-G26)</f>
        <v/>
      </c>
      <c r="I26" s="15" t="str">
        <f aca="false">IF(OR(F26="",F26=0),"",H26/F26)</f>
        <v/>
      </c>
      <c r="J26" s="16"/>
      <c r="K26" s="6"/>
      <c r="L26" s="4"/>
      <c r="M26" s="6"/>
      <c r="N26" s="13"/>
    </row>
    <row r="27" customFormat="false" ht="27.75" hidden="false" customHeight="true" outlineLevel="0" collapsed="false">
      <c r="A27" s="12" t="str">
        <f aca="false">IF(B27="","","VAR-"&amp;TEXT(ROW()-4,"000"))</f>
        <v/>
      </c>
      <c r="B27" s="6"/>
      <c r="C27" s="13"/>
      <c r="D27" s="4"/>
      <c r="E27" s="4"/>
      <c r="F27" s="5"/>
      <c r="G27" s="5"/>
      <c r="H27" s="14" t="str">
        <f aca="false">IF(OR(F27="",G27=""),"",F27-G27)</f>
        <v/>
      </c>
      <c r="I27" s="15" t="str">
        <f aca="false">IF(OR(F27="",F27=0),"",H27/F27)</f>
        <v/>
      </c>
      <c r="J27" s="16"/>
      <c r="K27" s="6"/>
      <c r="L27" s="4"/>
      <c r="M27" s="6"/>
      <c r="N27" s="13"/>
    </row>
    <row r="28" customFormat="false" ht="27.75" hidden="false" customHeight="true" outlineLevel="0" collapsed="false">
      <c r="A28" s="12" t="str">
        <f aca="false">IF(B28="","","VAR-"&amp;TEXT(ROW()-4,"000"))</f>
        <v/>
      </c>
      <c r="B28" s="6"/>
      <c r="C28" s="13"/>
      <c r="D28" s="4"/>
      <c r="E28" s="4"/>
      <c r="F28" s="5"/>
      <c r="G28" s="5"/>
      <c r="H28" s="14" t="str">
        <f aca="false">IF(OR(F28="",G28=""),"",F28-G28)</f>
        <v/>
      </c>
      <c r="I28" s="15" t="str">
        <f aca="false">IF(OR(F28="",F28=0),"",H28/F28)</f>
        <v/>
      </c>
      <c r="J28" s="16"/>
      <c r="K28" s="6"/>
      <c r="L28" s="4"/>
      <c r="M28" s="6"/>
      <c r="N28" s="13"/>
    </row>
    <row r="29" customFormat="false" ht="27.75" hidden="false" customHeight="true" outlineLevel="0" collapsed="false">
      <c r="A29" s="12" t="str">
        <f aca="false">IF(B29="","","VAR-"&amp;TEXT(ROW()-4,"000"))</f>
        <v/>
      </c>
      <c r="B29" s="6"/>
      <c r="C29" s="13"/>
      <c r="D29" s="4"/>
      <c r="E29" s="4"/>
      <c r="F29" s="5"/>
      <c r="G29" s="5"/>
      <c r="H29" s="14" t="str">
        <f aca="false">IF(OR(F29="",G29=""),"",F29-G29)</f>
        <v/>
      </c>
      <c r="I29" s="15" t="str">
        <f aca="false">IF(OR(F29="",F29=0),"",H29/F29)</f>
        <v/>
      </c>
      <c r="J29" s="16"/>
      <c r="K29" s="6"/>
      <c r="L29" s="4"/>
      <c r="M29" s="6"/>
      <c r="N29" s="13"/>
    </row>
    <row r="30" customFormat="false" ht="27.75" hidden="false" customHeight="true" outlineLevel="0" collapsed="false">
      <c r="A30" s="12" t="str">
        <f aca="false">IF(B30="","","VAR-"&amp;TEXT(ROW()-4,"000"))</f>
        <v/>
      </c>
      <c r="B30" s="6"/>
      <c r="C30" s="13"/>
      <c r="D30" s="4"/>
      <c r="E30" s="4"/>
      <c r="F30" s="5"/>
      <c r="G30" s="5"/>
      <c r="H30" s="14" t="str">
        <f aca="false">IF(OR(F30="",G30=""),"",F30-G30)</f>
        <v/>
      </c>
      <c r="I30" s="15" t="str">
        <f aca="false">IF(OR(F30="",F30=0),"",H30/F30)</f>
        <v/>
      </c>
      <c r="J30" s="16"/>
      <c r="K30" s="6"/>
      <c r="L30" s="4"/>
      <c r="M30" s="6"/>
      <c r="N30" s="13"/>
    </row>
    <row r="31" customFormat="false" ht="27.75" hidden="false" customHeight="true" outlineLevel="0" collapsed="false">
      <c r="A31" s="12" t="str">
        <f aca="false">IF(B31="","","VAR-"&amp;TEXT(ROW()-4,"000"))</f>
        <v/>
      </c>
      <c r="B31" s="6"/>
      <c r="C31" s="13"/>
      <c r="D31" s="4"/>
      <c r="E31" s="4"/>
      <c r="F31" s="5"/>
      <c r="G31" s="5"/>
      <c r="H31" s="14" t="str">
        <f aca="false">IF(OR(F31="",G31=""),"",F31-G31)</f>
        <v/>
      </c>
      <c r="I31" s="15" t="str">
        <f aca="false">IF(OR(F31="",F31=0),"",H31/F31)</f>
        <v/>
      </c>
      <c r="J31" s="16"/>
      <c r="K31" s="6"/>
      <c r="L31" s="4"/>
      <c r="M31" s="6"/>
      <c r="N31" s="13"/>
    </row>
    <row r="32" customFormat="false" ht="27.75" hidden="false" customHeight="true" outlineLevel="0" collapsed="false">
      <c r="A32" s="12" t="str">
        <f aca="false">IF(B32="","","VAR-"&amp;TEXT(ROW()-4,"000"))</f>
        <v/>
      </c>
      <c r="B32" s="6"/>
      <c r="C32" s="13"/>
      <c r="D32" s="4"/>
      <c r="E32" s="4"/>
      <c r="F32" s="5"/>
      <c r="G32" s="5"/>
      <c r="H32" s="14" t="str">
        <f aca="false">IF(OR(F32="",G32=""),"",F32-G32)</f>
        <v/>
      </c>
      <c r="I32" s="15" t="str">
        <f aca="false">IF(OR(F32="",F32=0),"",H32/F32)</f>
        <v/>
      </c>
      <c r="J32" s="16"/>
      <c r="K32" s="6"/>
      <c r="L32" s="4"/>
      <c r="M32" s="6"/>
      <c r="N32" s="13"/>
    </row>
    <row r="33" customFormat="false" ht="27.75" hidden="false" customHeight="true" outlineLevel="0" collapsed="false">
      <c r="A33" s="12" t="str">
        <f aca="false">IF(B33="","","VAR-"&amp;TEXT(ROW()-4,"000"))</f>
        <v/>
      </c>
      <c r="B33" s="6"/>
      <c r="C33" s="13"/>
      <c r="D33" s="4"/>
      <c r="E33" s="4"/>
      <c r="F33" s="5"/>
      <c r="G33" s="5"/>
      <c r="H33" s="14" t="str">
        <f aca="false">IF(OR(F33="",G33=""),"",F33-G33)</f>
        <v/>
      </c>
      <c r="I33" s="15" t="str">
        <f aca="false">IF(OR(F33="",F33=0),"",H33/F33)</f>
        <v/>
      </c>
      <c r="J33" s="16"/>
      <c r="K33" s="6"/>
      <c r="L33" s="4"/>
      <c r="M33" s="6"/>
      <c r="N33" s="13"/>
    </row>
    <row r="34" customFormat="false" ht="27.75" hidden="false" customHeight="true" outlineLevel="0" collapsed="false">
      <c r="A34" s="12" t="str">
        <f aca="false">IF(B34="","","VAR-"&amp;TEXT(ROW()-4,"000"))</f>
        <v/>
      </c>
      <c r="B34" s="6"/>
      <c r="C34" s="13"/>
      <c r="D34" s="4"/>
      <c r="E34" s="4"/>
      <c r="F34" s="5"/>
      <c r="G34" s="5"/>
      <c r="H34" s="14" t="str">
        <f aca="false">IF(OR(F34="",G34=""),"",F34-G34)</f>
        <v/>
      </c>
      <c r="I34" s="15" t="str">
        <f aca="false">IF(OR(F34="",F34=0),"",H34/F34)</f>
        <v/>
      </c>
      <c r="J34" s="16"/>
      <c r="K34" s="6"/>
      <c r="L34" s="4"/>
      <c r="M34" s="6"/>
      <c r="N34" s="13"/>
    </row>
    <row r="35" customFormat="false" ht="27.75" hidden="false" customHeight="true" outlineLevel="0" collapsed="false">
      <c r="A35" s="12" t="str">
        <f aca="false">IF(B35="","","VAR-"&amp;TEXT(ROW()-4,"000"))</f>
        <v/>
      </c>
      <c r="B35" s="6"/>
      <c r="C35" s="13"/>
      <c r="D35" s="4"/>
      <c r="E35" s="4"/>
      <c r="F35" s="5"/>
      <c r="G35" s="5"/>
      <c r="H35" s="14" t="str">
        <f aca="false">IF(OR(F35="",G35=""),"",F35-G35)</f>
        <v/>
      </c>
      <c r="I35" s="15" t="str">
        <f aca="false">IF(OR(F35="",F35=0),"",H35/F35)</f>
        <v/>
      </c>
      <c r="J35" s="16"/>
      <c r="K35" s="6"/>
      <c r="L35" s="4"/>
      <c r="M35" s="6"/>
      <c r="N35" s="13"/>
    </row>
    <row r="36" customFormat="false" ht="27.75" hidden="false" customHeight="true" outlineLevel="0" collapsed="false">
      <c r="A36" s="12" t="str">
        <f aca="false">IF(B36="","","VAR-"&amp;TEXT(ROW()-4,"000"))</f>
        <v/>
      </c>
      <c r="B36" s="6"/>
      <c r="C36" s="13"/>
      <c r="D36" s="4"/>
      <c r="E36" s="4"/>
      <c r="F36" s="5"/>
      <c r="G36" s="5"/>
      <c r="H36" s="14" t="str">
        <f aca="false">IF(OR(F36="",G36=""),"",F36-G36)</f>
        <v/>
      </c>
      <c r="I36" s="15" t="str">
        <f aca="false">IF(OR(F36="",F36=0),"",H36/F36)</f>
        <v/>
      </c>
      <c r="J36" s="16"/>
      <c r="K36" s="6"/>
      <c r="L36" s="4"/>
      <c r="M36" s="6"/>
      <c r="N36" s="13"/>
    </row>
    <row r="37" customFormat="false" ht="27.75" hidden="false" customHeight="true" outlineLevel="0" collapsed="false">
      <c r="A37" s="12" t="str">
        <f aca="false">IF(B37="","","VAR-"&amp;TEXT(ROW()-4,"000"))</f>
        <v/>
      </c>
      <c r="B37" s="6"/>
      <c r="C37" s="13"/>
      <c r="D37" s="4"/>
      <c r="E37" s="4"/>
      <c r="F37" s="5"/>
      <c r="G37" s="5"/>
      <c r="H37" s="14" t="str">
        <f aca="false">IF(OR(F37="",G37=""),"",F37-G37)</f>
        <v/>
      </c>
      <c r="I37" s="15" t="str">
        <f aca="false">IF(OR(F37="",F37=0),"",H37/F37)</f>
        <v/>
      </c>
      <c r="J37" s="16"/>
      <c r="K37" s="6"/>
      <c r="L37" s="4"/>
      <c r="M37" s="6"/>
      <c r="N37" s="13"/>
    </row>
    <row r="38" customFormat="false" ht="27.75" hidden="false" customHeight="true" outlineLevel="0" collapsed="false">
      <c r="A38" s="12" t="str">
        <f aca="false">IF(B38="","","VAR-"&amp;TEXT(ROW()-4,"000"))</f>
        <v/>
      </c>
      <c r="B38" s="6"/>
      <c r="C38" s="13"/>
      <c r="D38" s="4"/>
      <c r="E38" s="4"/>
      <c r="F38" s="5"/>
      <c r="G38" s="5"/>
      <c r="H38" s="14" t="str">
        <f aca="false">IF(OR(F38="",G38=""),"",F38-G38)</f>
        <v/>
      </c>
      <c r="I38" s="15" t="str">
        <f aca="false">IF(OR(F38="",F38=0),"",H38/F38)</f>
        <v/>
      </c>
      <c r="J38" s="16"/>
      <c r="K38" s="6"/>
      <c r="L38" s="4"/>
      <c r="M38" s="6"/>
      <c r="N38" s="13"/>
    </row>
    <row r="39" customFormat="false" ht="27.75" hidden="false" customHeight="true" outlineLevel="0" collapsed="false">
      <c r="A39" s="12" t="str">
        <f aca="false">IF(B39="","","VAR-"&amp;TEXT(ROW()-4,"000"))</f>
        <v/>
      </c>
      <c r="B39" s="6"/>
      <c r="C39" s="13"/>
      <c r="D39" s="4"/>
      <c r="E39" s="4"/>
      <c r="F39" s="5"/>
      <c r="G39" s="5"/>
      <c r="H39" s="14" t="str">
        <f aca="false">IF(OR(F39="",G39=""),"",F39-G39)</f>
        <v/>
      </c>
      <c r="I39" s="15" t="str">
        <f aca="false">IF(OR(F39="",F39=0),"",H39/F39)</f>
        <v/>
      </c>
      <c r="J39" s="16"/>
      <c r="K39" s="6"/>
      <c r="L39" s="4"/>
      <c r="M39" s="6"/>
      <c r="N39" s="13"/>
    </row>
    <row r="40" customFormat="false" ht="27.75" hidden="false" customHeight="true" outlineLevel="0" collapsed="false">
      <c r="A40" s="12" t="str">
        <f aca="false">IF(B40="","","VAR-"&amp;TEXT(ROW()-4,"000"))</f>
        <v/>
      </c>
      <c r="B40" s="6"/>
      <c r="C40" s="13"/>
      <c r="D40" s="4"/>
      <c r="E40" s="4"/>
      <c r="F40" s="5"/>
      <c r="G40" s="5"/>
      <c r="H40" s="14" t="str">
        <f aca="false">IF(OR(F40="",G40=""),"",F40-G40)</f>
        <v/>
      </c>
      <c r="I40" s="15" t="str">
        <f aca="false">IF(OR(F40="",F40=0),"",H40/F40)</f>
        <v/>
      </c>
      <c r="J40" s="16"/>
      <c r="K40" s="6"/>
      <c r="L40" s="4"/>
      <c r="M40" s="6"/>
      <c r="N40" s="13"/>
    </row>
    <row r="41" customFormat="false" ht="27.75" hidden="false" customHeight="true" outlineLevel="0" collapsed="false">
      <c r="A41" s="12" t="str">
        <f aca="false">IF(B41="","","VAR-"&amp;TEXT(ROW()-4,"000"))</f>
        <v/>
      </c>
      <c r="B41" s="6"/>
      <c r="C41" s="13"/>
      <c r="D41" s="4"/>
      <c r="E41" s="4"/>
      <c r="F41" s="5"/>
      <c r="G41" s="5"/>
      <c r="H41" s="14" t="str">
        <f aca="false">IF(OR(F41="",G41=""),"",F41-G41)</f>
        <v/>
      </c>
      <c r="I41" s="15" t="str">
        <f aca="false">IF(OR(F41="",F41=0),"",H41/F41)</f>
        <v/>
      </c>
      <c r="J41" s="16"/>
      <c r="K41" s="6"/>
      <c r="L41" s="4"/>
      <c r="M41" s="6"/>
      <c r="N41" s="13"/>
    </row>
    <row r="42" customFormat="false" ht="27.75" hidden="false" customHeight="true" outlineLevel="0" collapsed="false">
      <c r="A42" s="12" t="str">
        <f aca="false">IF(B42="","","VAR-"&amp;TEXT(ROW()-4,"000"))</f>
        <v/>
      </c>
      <c r="B42" s="6"/>
      <c r="C42" s="13"/>
      <c r="D42" s="4"/>
      <c r="E42" s="4"/>
      <c r="F42" s="5"/>
      <c r="G42" s="5"/>
      <c r="H42" s="14" t="str">
        <f aca="false">IF(OR(F42="",G42=""),"",F42-G42)</f>
        <v/>
      </c>
      <c r="I42" s="15" t="str">
        <f aca="false">IF(OR(F42="",F42=0),"",H42/F42)</f>
        <v/>
      </c>
      <c r="J42" s="16"/>
      <c r="K42" s="6"/>
      <c r="L42" s="4"/>
      <c r="M42" s="6"/>
      <c r="N42" s="13"/>
    </row>
    <row r="43" customFormat="false" ht="27.75" hidden="false" customHeight="true" outlineLevel="0" collapsed="false">
      <c r="A43" s="12" t="str">
        <f aca="false">IF(B43="","","VAR-"&amp;TEXT(ROW()-4,"000"))</f>
        <v/>
      </c>
      <c r="B43" s="6"/>
      <c r="C43" s="13"/>
      <c r="D43" s="4"/>
      <c r="E43" s="4"/>
      <c r="F43" s="5"/>
      <c r="G43" s="5"/>
      <c r="H43" s="14" t="str">
        <f aca="false">IF(OR(F43="",G43=""),"",F43-G43)</f>
        <v/>
      </c>
      <c r="I43" s="15" t="str">
        <f aca="false">IF(OR(F43="",F43=0),"",H43/F43)</f>
        <v/>
      </c>
      <c r="J43" s="16"/>
      <c r="K43" s="6"/>
      <c r="L43" s="4"/>
      <c r="M43" s="6"/>
      <c r="N43" s="13"/>
    </row>
    <row r="44" customFormat="false" ht="27.75" hidden="false" customHeight="true" outlineLevel="0" collapsed="false">
      <c r="A44" s="12" t="str">
        <f aca="false">IF(B44="","","VAR-"&amp;TEXT(ROW()-4,"000"))</f>
        <v/>
      </c>
      <c r="B44" s="6"/>
      <c r="C44" s="13"/>
      <c r="D44" s="4"/>
      <c r="E44" s="4"/>
      <c r="F44" s="5"/>
      <c r="G44" s="5"/>
      <c r="H44" s="14" t="str">
        <f aca="false">IF(OR(F44="",G44=""),"",F44-G44)</f>
        <v/>
      </c>
      <c r="I44" s="15" t="str">
        <f aca="false">IF(OR(F44="",F44=0),"",H44/F44)</f>
        <v/>
      </c>
      <c r="J44" s="16"/>
      <c r="K44" s="6"/>
      <c r="L44" s="4"/>
      <c r="M44" s="6"/>
      <c r="N44" s="13"/>
    </row>
    <row r="45" customFormat="false" ht="27.75" hidden="false" customHeight="true" outlineLevel="0" collapsed="false">
      <c r="A45" s="12" t="str">
        <f aca="false">IF(B45="","","VAR-"&amp;TEXT(ROW()-4,"000"))</f>
        <v/>
      </c>
      <c r="B45" s="6"/>
      <c r="C45" s="13"/>
      <c r="D45" s="4"/>
      <c r="E45" s="4"/>
      <c r="F45" s="5"/>
      <c r="G45" s="5"/>
      <c r="H45" s="14" t="str">
        <f aca="false">IF(OR(F45="",G45=""),"",F45-G45)</f>
        <v/>
      </c>
      <c r="I45" s="15" t="str">
        <f aca="false">IF(OR(F45="",F45=0),"",H45/F45)</f>
        <v/>
      </c>
      <c r="J45" s="16"/>
      <c r="K45" s="6"/>
      <c r="L45" s="4"/>
      <c r="M45" s="6"/>
      <c r="N45" s="13"/>
    </row>
    <row r="46" customFormat="false" ht="27.75" hidden="false" customHeight="true" outlineLevel="0" collapsed="false">
      <c r="A46" s="12" t="str">
        <f aca="false">IF(B46="","","VAR-"&amp;TEXT(ROW()-4,"000"))</f>
        <v/>
      </c>
      <c r="B46" s="6"/>
      <c r="C46" s="13"/>
      <c r="D46" s="4"/>
      <c r="E46" s="4"/>
      <c r="F46" s="5"/>
      <c r="G46" s="5"/>
      <c r="H46" s="14" t="str">
        <f aca="false">IF(OR(F46="",G46=""),"",F46-G46)</f>
        <v/>
      </c>
      <c r="I46" s="15" t="str">
        <f aca="false">IF(OR(F46="",F46=0),"",H46/F46)</f>
        <v/>
      </c>
      <c r="J46" s="16"/>
      <c r="K46" s="6"/>
      <c r="L46" s="4"/>
      <c r="M46" s="6"/>
      <c r="N46" s="13"/>
    </row>
    <row r="47" customFormat="false" ht="27.75" hidden="false" customHeight="true" outlineLevel="0" collapsed="false">
      <c r="A47" s="12" t="str">
        <f aca="false">IF(B47="","","VAR-"&amp;TEXT(ROW()-4,"000"))</f>
        <v/>
      </c>
      <c r="B47" s="6"/>
      <c r="C47" s="13"/>
      <c r="D47" s="4"/>
      <c r="E47" s="4"/>
      <c r="F47" s="5"/>
      <c r="G47" s="5"/>
      <c r="H47" s="14" t="str">
        <f aca="false">IF(OR(F47="",G47=""),"",F47-G47)</f>
        <v/>
      </c>
      <c r="I47" s="15" t="str">
        <f aca="false">IF(OR(F47="",F47=0),"",H47/F47)</f>
        <v/>
      </c>
      <c r="J47" s="16"/>
      <c r="K47" s="6"/>
      <c r="L47" s="4"/>
      <c r="M47" s="6"/>
      <c r="N47" s="13"/>
    </row>
    <row r="48" customFormat="false" ht="27.75" hidden="false" customHeight="true" outlineLevel="0" collapsed="false">
      <c r="A48" s="12" t="str">
        <f aca="false">IF(B48="","","VAR-"&amp;TEXT(ROW()-4,"000"))</f>
        <v/>
      </c>
      <c r="B48" s="6"/>
      <c r="C48" s="13"/>
      <c r="D48" s="4"/>
      <c r="E48" s="4"/>
      <c r="F48" s="5"/>
      <c r="G48" s="5"/>
      <c r="H48" s="14" t="str">
        <f aca="false">IF(OR(F48="",G48=""),"",F48-G48)</f>
        <v/>
      </c>
      <c r="I48" s="15" t="str">
        <f aca="false">IF(OR(F48="",F48=0),"",H48/F48)</f>
        <v/>
      </c>
      <c r="J48" s="16"/>
      <c r="K48" s="6"/>
      <c r="L48" s="4"/>
      <c r="M48" s="6"/>
      <c r="N48" s="13"/>
    </row>
    <row r="49" customFormat="false" ht="27.75" hidden="false" customHeight="true" outlineLevel="0" collapsed="false">
      <c r="A49" s="12" t="str">
        <f aca="false">IF(B49="","","VAR-"&amp;TEXT(ROW()-4,"000"))</f>
        <v/>
      </c>
      <c r="B49" s="6"/>
      <c r="C49" s="13"/>
      <c r="D49" s="4"/>
      <c r="E49" s="4"/>
      <c r="F49" s="5"/>
      <c r="G49" s="5"/>
      <c r="H49" s="14" t="str">
        <f aca="false">IF(OR(F49="",G49=""),"",F49-G49)</f>
        <v/>
      </c>
      <c r="I49" s="15" t="str">
        <f aca="false">IF(OR(F49="",F49=0),"",H49/F49)</f>
        <v/>
      </c>
      <c r="J49" s="16"/>
      <c r="K49" s="6"/>
      <c r="L49" s="4"/>
      <c r="M49" s="6"/>
      <c r="N49" s="13"/>
    </row>
    <row r="50" customFormat="false" ht="27.75" hidden="false" customHeight="true" outlineLevel="0" collapsed="false">
      <c r="A50" s="12" t="str">
        <f aca="false">IF(B50="","","VAR-"&amp;TEXT(ROW()-4,"000"))</f>
        <v/>
      </c>
      <c r="B50" s="6"/>
      <c r="C50" s="13"/>
      <c r="D50" s="4"/>
      <c r="E50" s="4"/>
      <c r="F50" s="5"/>
      <c r="G50" s="5"/>
      <c r="H50" s="14" t="str">
        <f aca="false">IF(OR(F50="",G50=""),"",F50-G50)</f>
        <v/>
      </c>
      <c r="I50" s="15" t="str">
        <f aca="false">IF(OR(F50="",F50=0),"",H50/F50)</f>
        <v/>
      </c>
      <c r="J50" s="16"/>
      <c r="K50" s="6"/>
      <c r="L50" s="4"/>
      <c r="M50" s="6"/>
      <c r="N50" s="13"/>
    </row>
    <row r="51" customFormat="false" ht="27.75" hidden="false" customHeight="true" outlineLevel="0" collapsed="false">
      <c r="A51" s="12" t="str">
        <f aca="false">IF(B51="","","VAR-"&amp;TEXT(ROW()-4,"000"))</f>
        <v/>
      </c>
      <c r="B51" s="6"/>
      <c r="C51" s="13"/>
      <c r="D51" s="4"/>
      <c r="E51" s="4"/>
      <c r="F51" s="5"/>
      <c r="G51" s="5"/>
      <c r="H51" s="14" t="str">
        <f aca="false">IF(OR(F51="",G51=""),"",F51-G51)</f>
        <v/>
      </c>
      <c r="I51" s="15" t="str">
        <f aca="false">IF(OR(F51="",F51=0),"",H51/F51)</f>
        <v/>
      </c>
      <c r="J51" s="16"/>
      <c r="K51" s="6"/>
      <c r="L51" s="4"/>
      <c r="M51" s="6"/>
      <c r="N51" s="13"/>
    </row>
    <row r="52" customFormat="false" ht="27.75" hidden="false" customHeight="true" outlineLevel="0" collapsed="false">
      <c r="A52" s="12" t="str">
        <f aca="false">IF(B52="","","VAR-"&amp;TEXT(ROW()-4,"000"))</f>
        <v/>
      </c>
      <c r="B52" s="6"/>
      <c r="C52" s="13"/>
      <c r="D52" s="4"/>
      <c r="E52" s="4"/>
      <c r="F52" s="5"/>
      <c r="G52" s="5"/>
      <c r="H52" s="14" t="str">
        <f aca="false">IF(OR(F52="",G52=""),"",F52-G52)</f>
        <v/>
      </c>
      <c r="I52" s="15" t="str">
        <f aca="false">IF(OR(F52="",F52=0),"",H52/F52)</f>
        <v/>
      </c>
      <c r="J52" s="16"/>
      <c r="K52" s="6"/>
      <c r="L52" s="4"/>
      <c r="M52" s="6"/>
      <c r="N52" s="13"/>
    </row>
    <row r="53" customFormat="false" ht="27.75" hidden="false" customHeight="true" outlineLevel="0" collapsed="false">
      <c r="A53" s="12" t="str">
        <f aca="false">IF(B53="","","VAR-"&amp;TEXT(ROW()-4,"000"))</f>
        <v/>
      </c>
      <c r="B53" s="6"/>
      <c r="C53" s="13"/>
      <c r="D53" s="4"/>
      <c r="E53" s="4"/>
      <c r="F53" s="5"/>
      <c r="G53" s="5"/>
      <c r="H53" s="14" t="str">
        <f aca="false">IF(OR(F53="",G53=""),"",F53-G53)</f>
        <v/>
      </c>
      <c r="I53" s="15" t="str">
        <f aca="false">IF(OR(F53="",F53=0),"",H53/F53)</f>
        <v/>
      </c>
      <c r="J53" s="16"/>
      <c r="K53" s="6"/>
      <c r="L53" s="4"/>
      <c r="M53" s="6"/>
      <c r="N53" s="13"/>
    </row>
    <row r="54" customFormat="false" ht="27.75" hidden="false" customHeight="true" outlineLevel="0" collapsed="false">
      <c r="A54" s="12" t="str">
        <f aca="false">IF(B54="","","VAR-"&amp;TEXT(ROW()-4,"000"))</f>
        <v/>
      </c>
      <c r="B54" s="6"/>
      <c r="C54" s="13"/>
      <c r="D54" s="4"/>
      <c r="E54" s="4"/>
      <c r="F54" s="5"/>
      <c r="G54" s="5"/>
      <c r="H54" s="14" t="str">
        <f aca="false">IF(OR(F54="",G54=""),"",F54-G54)</f>
        <v/>
      </c>
      <c r="I54" s="15" t="str">
        <f aca="false">IF(OR(F54="",F54=0),"",H54/F54)</f>
        <v/>
      </c>
      <c r="J54" s="16"/>
      <c r="K54" s="6"/>
      <c r="L54" s="4"/>
      <c r="M54" s="6"/>
      <c r="N54" s="13"/>
    </row>
  </sheetData>
  <mergeCells count="1">
    <mergeCell ref="A1:N1"/>
  </mergeCells>
  <dataValidations count="2">
    <dataValidation allowBlank="true" error="Select from list" errorStyle="stop" operator="between" showDropDown="false" showErrorMessage="false" showInputMessage="false" sqref="E5:E54" type="list">
      <formula1>"Requested,Priced,Approved,Rejected,Invoiced,Paid"</formula1>
      <formula2>0</formula2>
    </dataValidation>
    <dataValidation allowBlank="true" errorStyle="stop" operator="between" showDropDown="false" showErrorMessage="false" showInputMessage="false" sqref="D5:D54" type="list">
      <formula1>"Client Request,Latent Conditions,Compliance,Design Change,Other"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8"/>
    <col collapsed="false" customWidth="true" hidden="false" outlineLevel="0" max="5" min="4" style="0" width="14"/>
  </cols>
  <sheetData>
    <row r="1" customFormat="false" ht="31.5" hidden="false" customHeight="true" outlineLevel="0" collapsed="false">
      <c r="A1" s="8" t="s">
        <v>35</v>
      </c>
      <c r="B1" s="8"/>
      <c r="C1" s="8"/>
      <c r="D1" s="8"/>
      <c r="E1" s="8"/>
    </row>
    <row r="3" customFormat="false" ht="15" hidden="false" customHeight="false" outlineLevel="0" collapsed="false">
      <c r="A3" s="9" t="s">
        <v>18</v>
      </c>
      <c r="B3" s="10" t="n">
        <f aca="false">Setup!B13</f>
        <v>0</v>
      </c>
      <c r="D3" s="9" t="s">
        <v>36</v>
      </c>
      <c r="E3" s="17" t="n">
        <f aca="true">TODAY()</f>
        <v>46048</v>
      </c>
    </row>
    <row r="5" customFormat="false" ht="25.5" hidden="false" customHeight="true" outlineLevel="0" collapsed="false">
      <c r="A5" s="1" t="s">
        <v>37</v>
      </c>
      <c r="B5" s="1"/>
    </row>
    <row r="6" customFormat="false" ht="15" hidden="false" customHeight="false" outlineLevel="0" collapsed="false">
      <c r="A6" s="18" t="s">
        <v>38</v>
      </c>
      <c r="B6" s="19" t="n">
        <f aca="false">COUNTIF('Variation Register'!E:E,"Requested")</f>
        <v>0</v>
      </c>
    </row>
    <row r="7" customFormat="false" ht="15" hidden="false" customHeight="false" outlineLevel="0" collapsed="false">
      <c r="A7" s="18" t="s">
        <v>39</v>
      </c>
      <c r="B7" s="19" t="n">
        <f aca="false">COUNTIF('Variation Register'!E:E,"Priced")</f>
        <v>0</v>
      </c>
    </row>
    <row r="8" customFormat="false" ht="15" hidden="false" customHeight="false" outlineLevel="0" collapsed="false">
      <c r="A8" s="18" t="s">
        <v>31</v>
      </c>
      <c r="B8" s="19" t="n">
        <f aca="false">COUNTIF('Variation Register'!E:E,"Approved")</f>
        <v>0</v>
      </c>
    </row>
    <row r="9" customFormat="false" ht="15" hidden="false" customHeight="false" outlineLevel="0" collapsed="false">
      <c r="A9" s="18" t="s">
        <v>40</v>
      </c>
      <c r="B9" s="19" t="n">
        <f aca="false">COUNTIF('Variation Register'!E:E,"Rejected")</f>
        <v>0</v>
      </c>
    </row>
    <row r="10" customFormat="false" ht="15" hidden="false" customHeight="false" outlineLevel="0" collapsed="false">
      <c r="A10" s="18" t="s">
        <v>33</v>
      </c>
      <c r="B10" s="19" t="n">
        <f aca="false">COUNTIF('Variation Register'!E:E,"Invoiced")</f>
        <v>0</v>
      </c>
    </row>
    <row r="11" customFormat="false" ht="15" hidden="false" customHeight="false" outlineLevel="0" collapsed="false">
      <c r="A11" s="18" t="s">
        <v>41</v>
      </c>
      <c r="B11" s="19" t="n">
        <f aca="false">COUNTIF('Variation Register'!E:E,"Paid")</f>
        <v>0</v>
      </c>
    </row>
    <row r="12" customFormat="false" ht="15" hidden="false" customHeight="false" outlineLevel="0" collapsed="false">
      <c r="A12" s="18" t="s">
        <v>42</v>
      </c>
      <c r="B12" s="12" t="n">
        <f aca="false">COUNTA('Variation Register'!B5:B54)</f>
        <v>0</v>
      </c>
    </row>
    <row r="14" customFormat="false" ht="25.5" hidden="false" customHeight="true" outlineLevel="0" collapsed="false">
      <c r="A14" s="1" t="s">
        <v>43</v>
      </c>
      <c r="B14" s="1"/>
    </row>
    <row r="15" customFormat="false" ht="15" hidden="false" customHeight="false" outlineLevel="0" collapsed="false">
      <c r="A15" s="18" t="s">
        <v>44</v>
      </c>
      <c r="B15" s="20" t="n">
        <f aca="false">SUM('Variation Register'!F:F)</f>
        <v>0</v>
      </c>
    </row>
    <row r="16" customFormat="false" ht="15" hidden="false" customHeight="false" outlineLevel="0" collapsed="false">
      <c r="A16" s="18" t="s">
        <v>45</v>
      </c>
      <c r="B16" s="20" t="n">
        <f aca="false">SUMIF('Variation Register'!E:E,"Approved",'Variation Register'!F:F)+SUMIF('Variation Register'!E:E,"Invoiced",'Variation Register'!F:F)+SUMIF('Variation Register'!E:E,"Paid",'Variation Register'!F:F)</f>
        <v>0</v>
      </c>
    </row>
    <row r="17" customFormat="false" ht="15" hidden="false" customHeight="false" outlineLevel="0" collapsed="false">
      <c r="A17" s="18" t="s">
        <v>46</v>
      </c>
      <c r="B17" s="20" t="n">
        <f aca="false">SUM('Variation Register'!G:G)</f>
        <v>0</v>
      </c>
    </row>
    <row r="18" customFormat="false" ht="15" hidden="false" customHeight="false" outlineLevel="0" collapsed="false">
      <c r="A18" s="18" t="s">
        <v>47</v>
      </c>
      <c r="B18" s="20" t="n">
        <f aca="false">SUM('Variation Register'!H:H)</f>
        <v>0</v>
      </c>
    </row>
    <row r="19" customFormat="false" ht="15" hidden="false" customHeight="false" outlineLevel="0" collapsed="false">
      <c r="A19" s="18" t="s">
        <v>48</v>
      </c>
      <c r="B19" s="21" t="n">
        <f aca="false">IFERROR(AVERAGE('Variation Register'!I:I),0)</f>
        <v>0</v>
      </c>
    </row>
    <row r="20" customFormat="false" ht="15" hidden="false" customHeight="false" outlineLevel="0" collapsed="false">
      <c r="A20" s="18" t="s">
        <v>49</v>
      </c>
      <c r="B20" s="22" t="n">
        <f aca="false">SUM('Variation Register'!J:J)</f>
        <v>0</v>
      </c>
    </row>
    <row r="22" customFormat="false" ht="25.5" hidden="false" customHeight="true" outlineLevel="0" collapsed="false">
      <c r="A22" s="1" t="s">
        <v>50</v>
      </c>
      <c r="B22" s="1"/>
    </row>
    <row r="23" customFormat="false" ht="15" hidden="false" customHeight="false" outlineLevel="0" collapsed="false">
      <c r="A23" s="18" t="s">
        <v>51</v>
      </c>
      <c r="B23" s="20" t="n">
        <f aca="false">Setup!B18</f>
        <v>0</v>
      </c>
    </row>
    <row r="24" customFormat="false" ht="15" hidden="false" customHeight="false" outlineLevel="0" collapsed="false">
      <c r="A24" s="18" t="s">
        <v>52</v>
      </c>
      <c r="B24" s="20" t="n">
        <f aca="false">B16</f>
        <v>0</v>
      </c>
    </row>
    <row r="25" customFormat="false" ht="15" hidden="false" customHeight="false" outlineLevel="0" collapsed="false">
      <c r="A25" s="18" t="s">
        <v>53</v>
      </c>
      <c r="B25" s="23" t="n">
        <f aca="false">B23+B24</f>
        <v>0</v>
      </c>
    </row>
    <row r="26" customFormat="false" ht="15" hidden="false" customHeight="false" outlineLevel="0" collapsed="false">
      <c r="A26" s="18" t="s">
        <v>54</v>
      </c>
      <c r="B26" s="21" t="n">
        <f aca="false">IFERROR(B24/B23,0)</f>
        <v>0</v>
      </c>
    </row>
  </sheetData>
  <mergeCells count="4">
    <mergeCell ref="A1:E1"/>
    <mergeCell ref="A5:B5"/>
    <mergeCell ref="A14:B14"/>
    <mergeCell ref="A22:B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65"/>
  </cols>
  <sheetData>
    <row r="1" customFormat="false" ht="31.5" hidden="false" customHeight="true" outlineLevel="0" collapsed="false">
      <c r="A1" s="24" t="s">
        <v>55</v>
      </c>
      <c r="B1" s="24"/>
    </row>
    <row r="3" customFormat="false" ht="15" hidden="false" customHeight="false" outlineLevel="0" collapsed="false">
      <c r="A3" s="25" t="s">
        <v>56</v>
      </c>
    </row>
    <row r="4" customFormat="false" ht="15" hidden="false" customHeight="false" outlineLevel="0" collapsed="false">
      <c r="A4" s="25" t="s">
        <v>57</v>
      </c>
      <c r="B4" s="10" t="s">
        <v>58</v>
      </c>
    </row>
    <row r="5" customFormat="false" ht="15" hidden="false" customHeight="false" outlineLevel="0" collapsed="false">
      <c r="A5" s="25" t="s">
        <v>59</v>
      </c>
      <c r="B5" s="10" t="s">
        <v>60</v>
      </c>
    </row>
    <row r="6" customFormat="false" ht="15" hidden="false" customHeight="false" outlineLevel="0" collapsed="false">
      <c r="A6" s="25" t="s">
        <v>61</v>
      </c>
      <c r="B6" s="10" t="s">
        <v>62</v>
      </c>
    </row>
    <row r="7" customFormat="false" ht="15" hidden="false" customHeight="false" outlineLevel="0" collapsed="false">
      <c r="A7" s="25" t="s">
        <v>63</v>
      </c>
      <c r="B7" s="10" t="s">
        <v>64</v>
      </c>
    </row>
    <row r="8" customFormat="false" ht="15" hidden="false" customHeight="false" outlineLevel="0" collapsed="false">
      <c r="A8" s="25" t="s">
        <v>65</v>
      </c>
      <c r="B8" s="10" t="s">
        <v>66</v>
      </c>
    </row>
    <row r="9" customFormat="false" ht="15" hidden="false" customHeight="false" outlineLevel="0" collapsed="false">
      <c r="A9" s="25" t="s">
        <v>67</v>
      </c>
      <c r="B9" s="10" t="s">
        <v>68</v>
      </c>
    </row>
    <row r="11" customFormat="false" ht="15" hidden="false" customHeight="false" outlineLevel="0" collapsed="false">
      <c r="A11" s="25" t="s">
        <v>69</v>
      </c>
    </row>
    <row r="12" customFormat="false" ht="15" hidden="false" customHeight="false" outlineLevel="0" collapsed="false">
      <c r="A12" s="25" t="s">
        <v>38</v>
      </c>
      <c r="B12" s="10" t="s">
        <v>70</v>
      </c>
    </row>
    <row r="13" customFormat="false" ht="15" hidden="false" customHeight="false" outlineLevel="0" collapsed="false">
      <c r="A13" s="25" t="s">
        <v>39</v>
      </c>
      <c r="B13" s="10" t="s">
        <v>71</v>
      </c>
    </row>
    <row r="14" customFormat="false" ht="15" hidden="false" customHeight="false" outlineLevel="0" collapsed="false">
      <c r="A14" s="25" t="s">
        <v>31</v>
      </c>
      <c r="B14" s="10" t="s">
        <v>72</v>
      </c>
    </row>
    <row r="15" customFormat="false" ht="15" hidden="false" customHeight="false" outlineLevel="0" collapsed="false">
      <c r="A15" s="25" t="s">
        <v>40</v>
      </c>
      <c r="B15" s="10" t="s">
        <v>73</v>
      </c>
    </row>
    <row r="16" customFormat="false" ht="15" hidden="false" customHeight="false" outlineLevel="0" collapsed="false">
      <c r="A16" s="25" t="s">
        <v>33</v>
      </c>
      <c r="B16" s="10" t="s">
        <v>74</v>
      </c>
    </row>
    <row r="17" customFormat="false" ht="15" hidden="false" customHeight="false" outlineLevel="0" collapsed="false">
      <c r="A17" s="25" t="s">
        <v>41</v>
      </c>
      <c r="B17" s="10" t="s">
        <v>75</v>
      </c>
    </row>
    <row r="19" customFormat="false" ht="15" hidden="false" customHeight="false" outlineLevel="0" collapsed="false">
      <c r="A19" s="25" t="s">
        <v>76</v>
      </c>
    </row>
    <row r="20" customFormat="false" ht="15" hidden="false" customHeight="false" outlineLevel="0" collapsed="false">
      <c r="A20" s="25" t="s">
        <v>77</v>
      </c>
      <c r="B20" s="10" t="s">
        <v>78</v>
      </c>
    </row>
    <row r="21" customFormat="false" ht="15" hidden="false" customHeight="false" outlineLevel="0" collapsed="false">
      <c r="A21" s="25" t="s">
        <v>79</v>
      </c>
      <c r="B21" s="10" t="s">
        <v>80</v>
      </c>
    </row>
    <row r="23" customFormat="false" ht="15" hidden="false" customHeight="false" outlineLevel="0" collapsed="false">
      <c r="A23" s="25" t="s">
        <v>81</v>
      </c>
    </row>
    <row r="24" customFormat="false" ht="15" hidden="false" customHeight="false" outlineLevel="0" collapsed="false">
      <c r="B24" s="10" t="s">
        <v>82</v>
      </c>
    </row>
    <row r="25" customFormat="false" ht="15" hidden="false" customHeight="false" outlineLevel="0" collapsed="false">
      <c r="B25" s="10" t="s">
        <v>83</v>
      </c>
    </row>
    <row r="26" customFormat="false" ht="15" hidden="false" customHeight="false" outlineLevel="0" collapsed="false">
      <c r="B26" s="10" t="s">
        <v>84</v>
      </c>
    </row>
  </sheetData>
  <mergeCells count="1">
    <mergeCell ref="A1:B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2026-01-26T08:17:46Z</dcterms:created>
  <dc:creator>openpyxl</dc:creator>
  <dc:description/>
  <dc:language>en-US</dc:language>
  <cp:lastModifiedBy/>
  <dcterms:modified xsi:type="dcterms:W3CDTF">2026-01-26T08:17:47Z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