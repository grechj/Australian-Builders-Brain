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Variation Register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Instruction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.00"/>
    <numFmt numFmtId="165" formatCode="dd/mm/yyyy"/>
    <numFmt numFmtId="166" formatCode="0.0%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2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003366"/>
      <sz val="10"/>
    </font>
  </fonts>
  <fills count="6">
    <fill>
      <patternFill/>
    </fill>
    <fill>
      <patternFill patternType="gray125"/>
    </fill>
    <fill>
      <patternFill patternType="solid">
        <fgColor rgb="FF003366"/>
        <bgColor rgb="FF333399"/>
      </patternFill>
    </fill>
    <fill>
      <patternFill patternType="solid">
        <fgColor rgb="FFF5F5F5"/>
        <bgColor rgb="FFE8F5E9"/>
      </patternFill>
    </fill>
    <fill>
      <patternFill patternType="solid">
        <fgColor rgb="FFFFFBCC"/>
        <bgColor rgb="FFF5F5F5"/>
      </patternFill>
    </fill>
    <fill>
      <patternFill patternType="solid">
        <fgColor rgb="FFE8F5E9"/>
        <bgColor rgb="FFF5F5F5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general" vertical="bottom"/>
    </xf>
    <xf numFmtId="165" fontId="7" fillId="4" borderId="1" applyAlignment="1" pivotButton="0" quotePrefix="0" xfId="0">
      <alignment horizontal="general" vertical="bottom"/>
    </xf>
    <xf numFmtId="9" fontId="7" fillId="4" borderId="1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bottom"/>
    </xf>
    <xf numFmtId="0" fontId="7" fillId="4" borderId="1" applyAlignment="1" pivotButton="0" quotePrefix="0" xfId="0">
      <alignment horizontal="general" vertical="top" wrapText="1"/>
    </xf>
    <xf numFmtId="164" fontId="7" fillId="5" borderId="1" applyAlignment="1" pivotButton="0" quotePrefix="0" xfId="0">
      <alignment horizontal="general" vertical="bottom"/>
    </xf>
    <xf numFmtId="166" fontId="7" fillId="5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center" vertical="bottom"/>
    </xf>
    <xf numFmtId="165" fontId="7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right" vertical="bottom"/>
    </xf>
    <xf numFmtId="166" fontId="7" fillId="0" borderId="1" applyAlignment="1" pivotButton="0" quotePrefix="0" xfId="0">
      <alignment horizontal="right" vertical="bottom"/>
    </xf>
    <xf numFmtId="1" fontId="7" fillId="0" borderId="1" applyAlignment="1" pivotButton="0" quotePrefix="0" xfId="0">
      <alignment horizontal="right" vertical="bottom"/>
    </xf>
    <xf numFmtId="164" fontId="6" fillId="5" borderId="1" applyAlignment="1" pivotButton="0" quotePrefix="0" xfId="0">
      <alignment horizontal="right" vertical="bottom"/>
    </xf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general" vertical="bottom"/>
    </xf>
    <xf numFmtId="164" fontId="7" fillId="4" borderId="1" applyAlignment="1" pivotButton="0" quotePrefix="0" xfId="0">
      <alignment horizontal="general" vertical="bottom"/>
    </xf>
    <xf numFmtId="165" fontId="7" fillId="4" borderId="1" applyAlignment="1" pivotButton="0" quotePrefix="0" xfId="0">
      <alignment horizontal="general" vertical="bottom"/>
    </xf>
    <xf numFmtId="9" fontId="7" fillId="4" borderId="1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bottom"/>
    </xf>
    <xf numFmtId="0" fontId="7" fillId="4" borderId="1" applyAlignment="1" pivotButton="0" quotePrefix="0" xfId="0">
      <alignment horizontal="general" vertical="top" wrapText="1"/>
    </xf>
    <xf numFmtId="164" fontId="7" fillId="5" borderId="1" applyAlignment="1" pivotButton="0" quotePrefix="0" xfId="0">
      <alignment horizontal="general" vertical="bottom"/>
    </xf>
    <xf numFmtId="166" fontId="7" fillId="5" borderId="1" applyAlignment="1" pivotButton="0" quotePrefix="0" xfId="0">
      <alignment horizontal="general" vertical="bottom"/>
    </xf>
    <xf numFmtId="0" fontId="7" fillId="4" borderId="1" applyAlignment="1" pivotButton="0" quotePrefix="0" xfId="0">
      <alignment horizontal="center" vertical="bottom"/>
    </xf>
    <xf numFmtId="165" fontId="7" fillId="0" borderId="0" applyAlignment="1" pivotButton="0" quotePrefix="0" xfId="0">
      <alignment horizontal="general" vertical="bottom"/>
    </xf>
    <xf numFmtId="0" fontId="6" fillId="3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center" vertical="bottom"/>
    </xf>
    <xf numFmtId="164" fontId="7" fillId="0" borderId="1" applyAlignment="1" pivotButton="0" quotePrefix="0" xfId="0">
      <alignment horizontal="right" vertical="bottom"/>
    </xf>
    <xf numFmtId="166" fontId="7" fillId="0" borderId="1" applyAlignment="1" pivotButton="0" quotePrefix="0" xfId="0">
      <alignment horizontal="right" vertical="bottom"/>
    </xf>
    <xf numFmtId="1" fontId="7" fillId="0" borderId="1" applyAlignment="1" pivotButton="0" quotePrefix="0" xfId="0">
      <alignment horizontal="right" vertical="bottom"/>
    </xf>
    <xf numFmtId="164" fontId="6" fillId="5" borderId="1" applyAlignment="1" pivotButton="0" quotePrefix="0" xfId="0">
      <alignment horizontal="right" vertical="bottom"/>
    </xf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BCC"/>
      <rgbColor rgb="FFE8F5E9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0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26" min="1" max="1"/>
    <col width="42" customWidth="1" style="26" min="2" max="2"/>
  </cols>
  <sheetData>
    <row r="1" ht="27.75" customHeight="1" s="27">
      <c r="A1" s="28" t="inlineStr">
        <is>
          <t>BUSINESS SETUP</t>
        </is>
      </c>
    </row>
    <row r="2" ht="15" customHeight="1" s="27">
      <c r="A2" s="29" t="inlineStr">
        <is>
          <t>Enter your details - they will appear on the Summary dashboard.</t>
        </is>
      </c>
    </row>
    <row r="4" ht="21.75" customHeight="1" s="27">
      <c r="A4" s="30" t="inlineStr">
        <is>
          <t>Business Name:</t>
        </is>
      </c>
      <c r="B4" s="31" t="n"/>
    </row>
    <row r="5" ht="21.75" customHeight="1" s="27">
      <c r="A5" s="30" t="inlineStr">
        <is>
          <t>ABN:</t>
        </is>
      </c>
      <c r="B5" s="31" t="n"/>
    </row>
    <row r="6" ht="21.75" customHeight="1" s="27">
      <c r="A6" s="30" t="inlineStr">
        <is>
          <t>Builder Licence:</t>
        </is>
      </c>
      <c r="B6" s="31" t="n"/>
    </row>
    <row r="7" ht="21.75" customHeight="1" s="27">
      <c r="A7" s="30" t="inlineStr">
        <is>
          <t>Address:</t>
        </is>
      </c>
      <c r="B7" s="31" t="n"/>
    </row>
    <row r="8" ht="21.75" customHeight="1" s="27">
      <c r="A8" s="30" t="inlineStr">
        <is>
          <t>Phone:</t>
        </is>
      </c>
      <c r="B8" s="31" t="n"/>
    </row>
    <row r="9" ht="21.75" customHeight="1" s="27">
      <c r="A9" s="30" t="inlineStr">
        <is>
          <t>Email:</t>
        </is>
      </c>
      <c r="B9" s="31" t="n"/>
    </row>
    <row r="11" ht="27.75" customHeight="1" s="27">
      <c r="A11" s="28" t="inlineStr">
        <is>
          <t>PROJECT SETUP</t>
        </is>
      </c>
    </row>
    <row r="13" ht="21.75" customHeight="1" s="27">
      <c r="A13" s="30" t="inlineStr">
        <is>
          <t>Project Name:</t>
        </is>
      </c>
      <c r="B13" s="31" t="n"/>
    </row>
    <row r="14" ht="21.75" customHeight="1" s="27">
      <c r="A14" s="30" t="inlineStr">
        <is>
          <t>Project Address:</t>
        </is>
      </c>
      <c r="B14" s="31" t="n"/>
    </row>
    <row r="15" ht="21.75" customHeight="1" s="27">
      <c r="A15" s="30" t="inlineStr">
        <is>
          <t>Client Name:</t>
        </is>
      </c>
      <c r="B15" s="31" t="n"/>
    </row>
    <row r="16" ht="21.75" customHeight="1" s="27">
      <c r="A16" s="30" t="inlineStr">
        <is>
          <t>Contract Number:</t>
        </is>
      </c>
      <c r="B16" s="31" t="n"/>
    </row>
    <row r="17" ht="21.75" customHeight="1" s="27">
      <c r="A17" s="30" t="inlineStr">
        <is>
          <t>Contract Type:</t>
        </is>
      </c>
      <c r="B17" s="31" t="n"/>
    </row>
    <row r="18" ht="21.75" customHeight="1" s="27">
      <c r="A18" s="30" t="inlineStr">
        <is>
          <t>Original Contract Sum (excl GST):</t>
        </is>
      </c>
      <c r="B18" s="32" t="n"/>
    </row>
    <row r="19" ht="21.75" customHeight="1" s="27">
      <c r="A19" s="30" t="inlineStr">
        <is>
          <t>Contract Date:</t>
        </is>
      </c>
      <c r="B19" s="33" t="n"/>
    </row>
    <row r="20" ht="21.75" customHeight="1" s="27">
      <c r="A20" s="30" t="inlineStr">
        <is>
          <t>Target Margin (%):</t>
        </is>
      </c>
      <c r="B20" s="34" t="n">
        <v>0.2</v>
      </c>
    </row>
  </sheetData>
  <mergeCells count="3">
    <mergeCell ref="A2:B2"/>
    <mergeCell ref="A11:B11"/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N5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6" min="1" max="1"/>
    <col width="12" customWidth="1" style="26" min="2" max="2"/>
    <col width="38" customWidth="1" style="26" min="3" max="3"/>
    <col width="16" customWidth="1" style="26" min="4" max="4"/>
    <col width="13" customWidth="1" style="26" min="5" max="8"/>
    <col width="10" customWidth="1" style="26" min="9" max="9"/>
    <col width="8" customWidth="1" style="26" min="10" max="10"/>
    <col width="12" customWidth="1" style="26" min="11" max="11"/>
    <col width="10" customWidth="1" style="26" min="12" max="12"/>
    <col width="12" customWidth="1" style="26" min="13" max="13"/>
    <col width="28" customWidth="1" style="26" min="14" max="14"/>
  </cols>
  <sheetData>
    <row r="1" ht="31.5" customHeight="1" s="27">
      <c r="A1" s="35" t="inlineStr">
        <is>
          <t>VARIATION REGISTER</t>
        </is>
      </c>
    </row>
    <row r="2" ht="15" customHeight="1" s="27">
      <c r="A2" s="36" t="inlineStr">
        <is>
          <t>Project:</t>
        </is>
      </c>
      <c r="B2" s="37">
        <f>Setup!B13</f>
        <v/>
      </c>
      <c r="E2" s="36" t="inlineStr">
        <is>
          <t>Client:</t>
        </is>
      </c>
      <c r="F2" s="37">
        <f>Setup!B15</f>
        <v/>
      </c>
      <c r="I2" s="36" t="inlineStr">
        <is>
          <t>Contract:</t>
        </is>
      </c>
      <c r="J2" s="37">
        <f>Setup!B16</f>
        <v/>
      </c>
    </row>
    <row r="4" ht="27.75" customHeight="1" s="27">
      <c r="A4" s="38" t="inlineStr">
        <is>
          <t>Var No.</t>
        </is>
      </c>
      <c r="B4" s="38" t="inlineStr">
        <is>
          <t>Date Raised</t>
        </is>
      </c>
      <c r="C4" s="38" t="inlineStr">
        <is>
          <t>Description</t>
        </is>
      </c>
      <c r="D4" s="38" t="inlineStr">
        <is>
          <t>Reason</t>
        </is>
      </c>
      <c r="E4" s="38" t="inlineStr">
        <is>
          <t>Status</t>
        </is>
      </c>
      <c r="F4" s="38" t="inlineStr">
        <is>
          <t>Quoted ($ ex GST)</t>
        </is>
      </c>
      <c r="G4" s="38" t="inlineStr">
        <is>
          <t>Actual ($ ex GST)</t>
        </is>
      </c>
      <c r="H4" s="38" t="inlineStr">
        <is>
          <t>Margin ($)</t>
        </is>
      </c>
      <c r="I4" s="38" t="inlineStr">
        <is>
          <t>Margin %</t>
        </is>
      </c>
      <c r="J4" s="38" t="inlineStr">
        <is>
          <t>Days</t>
        </is>
      </c>
      <c r="K4" s="38" t="inlineStr">
        <is>
          <t>Approved</t>
        </is>
      </c>
      <c r="L4" s="38" t="inlineStr">
        <is>
          <t>Invoice</t>
        </is>
      </c>
      <c r="M4" s="38" t="inlineStr">
        <is>
          <t>Invoiced</t>
        </is>
      </c>
      <c r="N4" s="38" t="inlineStr">
        <is>
          <t>Notes</t>
        </is>
      </c>
    </row>
    <row r="5" ht="27.75" customHeight="1" s="27">
      <c r="A5" s="39">
        <f>IF(B5="","","VAR-"&amp;TEXT(ROW()-4,"000"))</f>
        <v/>
      </c>
      <c r="B5" s="33" t="n"/>
      <c r="C5" s="40" t="n"/>
      <c r="D5" s="31" t="n"/>
      <c r="E5" s="31" t="n"/>
      <c r="F5" s="32" t="n"/>
      <c r="G5" s="32" t="n"/>
      <c r="H5" s="41">
        <f>IF(OR(F5="",G5=""),"",F5-G5)</f>
        <v/>
      </c>
      <c r="I5" s="42">
        <f>IF(OR(F5="",F5=0),"",H5/F5)</f>
        <v/>
      </c>
      <c r="J5" s="43" t="n"/>
      <c r="K5" s="33" t="n"/>
      <c r="L5" s="31" t="n"/>
      <c r="M5" s="33" t="n"/>
      <c r="N5" s="40" t="n"/>
    </row>
    <row r="6" ht="27.75" customHeight="1" s="27">
      <c r="A6" s="39">
        <f>IF(B6="","","VAR-"&amp;TEXT(ROW()-4,"000"))</f>
        <v/>
      </c>
      <c r="B6" s="33" t="n"/>
      <c r="C6" s="40" t="n"/>
      <c r="D6" s="31" t="n"/>
      <c r="E6" s="31" t="n"/>
      <c r="F6" s="32" t="n"/>
      <c r="G6" s="32" t="n"/>
      <c r="H6" s="41">
        <f>IF(OR(F6="",G6=""),"",F6-G6)</f>
        <v/>
      </c>
      <c r="I6" s="42">
        <f>IF(OR(F6="",F6=0),"",H6/F6)</f>
        <v/>
      </c>
      <c r="J6" s="43" t="n"/>
      <c r="K6" s="33" t="n"/>
      <c r="L6" s="31" t="n"/>
      <c r="M6" s="33" t="n"/>
      <c r="N6" s="40" t="n"/>
    </row>
    <row r="7" ht="27.75" customHeight="1" s="27">
      <c r="A7" s="39">
        <f>IF(B7="","","VAR-"&amp;TEXT(ROW()-4,"000"))</f>
        <v/>
      </c>
      <c r="B7" s="33" t="n"/>
      <c r="C7" s="40" t="n"/>
      <c r="D7" s="31" t="n"/>
      <c r="E7" s="31" t="n"/>
      <c r="F7" s="32" t="n"/>
      <c r="G7" s="32" t="n"/>
      <c r="H7" s="41">
        <f>IF(OR(F7="",G7=""),"",F7-G7)</f>
        <v/>
      </c>
      <c r="I7" s="42">
        <f>IF(OR(F7="",F7=0),"",H7/F7)</f>
        <v/>
      </c>
      <c r="J7" s="43" t="n"/>
      <c r="K7" s="33" t="n"/>
      <c r="L7" s="31" t="n"/>
      <c r="M7" s="33" t="n"/>
      <c r="N7" s="40" t="n"/>
    </row>
    <row r="8" ht="27.75" customHeight="1" s="27">
      <c r="A8" s="39">
        <f>IF(B8="","","VAR-"&amp;TEXT(ROW()-4,"000"))</f>
        <v/>
      </c>
      <c r="B8" s="33" t="n"/>
      <c r="C8" s="40" t="n"/>
      <c r="D8" s="31" t="n"/>
      <c r="E8" s="31" t="n"/>
      <c r="F8" s="32" t="n"/>
      <c r="G8" s="32" t="n"/>
      <c r="H8" s="41">
        <f>IF(OR(F8="",G8=""),"",F8-G8)</f>
        <v/>
      </c>
      <c r="I8" s="42">
        <f>IF(OR(F8="",F8=0),"",H8/F8)</f>
        <v/>
      </c>
      <c r="J8" s="43" t="n"/>
      <c r="K8" s="33" t="n"/>
      <c r="L8" s="31" t="n"/>
      <c r="M8" s="33" t="n"/>
      <c r="N8" s="40" t="n"/>
    </row>
    <row r="9" ht="27.75" customHeight="1" s="27">
      <c r="A9" s="39">
        <f>IF(B9="","","VAR-"&amp;TEXT(ROW()-4,"000"))</f>
        <v/>
      </c>
      <c r="B9" s="33" t="n"/>
      <c r="C9" s="40" t="n"/>
      <c r="D9" s="31" t="n"/>
      <c r="E9" s="31" t="n"/>
      <c r="F9" s="32" t="n"/>
      <c r="G9" s="32" t="n"/>
      <c r="H9" s="41">
        <f>IF(OR(F9="",G9=""),"",F9-G9)</f>
        <v/>
      </c>
      <c r="I9" s="42">
        <f>IF(OR(F9="",F9=0),"",H9/F9)</f>
        <v/>
      </c>
      <c r="J9" s="43" t="n"/>
      <c r="K9" s="33" t="n"/>
      <c r="L9" s="31" t="n"/>
      <c r="M9" s="33" t="n"/>
      <c r="N9" s="40" t="n"/>
    </row>
    <row r="10" ht="27.75" customHeight="1" s="27">
      <c r="A10" s="39">
        <f>IF(B10="","","VAR-"&amp;TEXT(ROW()-4,"000"))</f>
        <v/>
      </c>
      <c r="B10" s="33" t="n"/>
      <c r="C10" s="40" t="n"/>
      <c r="D10" s="31" t="n"/>
      <c r="E10" s="31" t="n"/>
      <c r="F10" s="32" t="n"/>
      <c r="G10" s="32" t="n"/>
      <c r="H10" s="41">
        <f>IF(OR(F10="",G10=""),"",F10-G10)</f>
        <v/>
      </c>
      <c r="I10" s="42">
        <f>IF(OR(F10="",F10=0),"",H10/F10)</f>
        <v/>
      </c>
      <c r="J10" s="43" t="n"/>
      <c r="K10" s="33" t="n"/>
      <c r="L10" s="31" t="n"/>
      <c r="M10" s="33" t="n"/>
      <c r="N10" s="40" t="n"/>
    </row>
    <row r="11" ht="27.75" customHeight="1" s="27">
      <c r="A11" s="39">
        <f>IF(B11="","","VAR-"&amp;TEXT(ROW()-4,"000"))</f>
        <v/>
      </c>
      <c r="B11" s="33" t="n"/>
      <c r="C11" s="40" t="n"/>
      <c r="D11" s="31" t="n"/>
      <c r="E11" s="31" t="n"/>
      <c r="F11" s="32" t="n"/>
      <c r="G11" s="32" t="n"/>
      <c r="H11" s="41">
        <f>IF(OR(F11="",G11=""),"",F11-G11)</f>
        <v/>
      </c>
      <c r="I11" s="42">
        <f>IF(OR(F11="",F11=0),"",H11/F11)</f>
        <v/>
      </c>
      <c r="J11" s="43" t="n"/>
      <c r="K11" s="33" t="n"/>
      <c r="L11" s="31" t="n"/>
      <c r="M11" s="33" t="n"/>
      <c r="N11" s="40" t="n"/>
    </row>
    <row r="12" ht="27.75" customHeight="1" s="27">
      <c r="A12" s="39">
        <f>IF(B12="","","VAR-"&amp;TEXT(ROW()-4,"000"))</f>
        <v/>
      </c>
      <c r="B12" s="33" t="n"/>
      <c r="C12" s="40" t="n"/>
      <c r="D12" s="31" t="n"/>
      <c r="E12" s="31" t="n"/>
      <c r="F12" s="32" t="n"/>
      <c r="G12" s="32" t="n"/>
      <c r="H12" s="41">
        <f>IF(OR(F12="",G12=""),"",F12-G12)</f>
        <v/>
      </c>
      <c r="I12" s="42">
        <f>IF(OR(F12="",F12=0),"",H12/F12)</f>
        <v/>
      </c>
      <c r="J12" s="43" t="n"/>
      <c r="K12" s="33" t="n"/>
      <c r="L12" s="31" t="n"/>
      <c r="M12" s="33" t="n"/>
      <c r="N12" s="40" t="n"/>
    </row>
    <row r="13" ht="27.75" customHeight="1" s="27">
      <c r="A13" s="39">
        <f>IF(B13="","","VAR-"&amp;TEXT(ROW()-4,"000"))</f>
        <v/>
      </c>
      <c r="B13" s="33" t="n"/>
      <c r="C13" s="40" t="n"/>
      <c r="D13" s="31" t="n"/>
      <c r="E13" s="31" t="n"/>
      <c r="F13" s="32" t="n"/>
      <c r="G13" s="32" t="n"/>
      <c r="H13" s="41">
        <f>IF(OR(F13="",G13=""),"",F13-G13)</f>
        <v/>
      </c>
      <c r="I13" s="42">
        <f>IF(OR(F13="",F13=0),"",H13/F13)</f>
        <v/>
      </c>
      <c r="J13" s="43" t="n"/>
      <c r="K13" s="33" t="n"/>
      <c r="L13" s="31" t="n"/>
      <c r="M13" s="33" t="n"/>
      <c r="N13" s="40" t="n"/>
    </row>
    <row r="14" ht="27.75" customHeight="1" s="27">
      <c r="A14" s="39">
        <f>IF(B14="","","VAR-"&amp;TEXT(ROW()-4,"000"))</f>
        <v/>
      </c>
      <c r="B14" s="33" t="n"/>
      <c r="C14" s="40" t="n"/>
      <c r="D14" s="31" t="n"/>
      <c r="E14" s="31" t="n"/>
      <c r="F14" s="32" t="n"/>
      <c r="G14" s="32" t="n"/>
      <c r="H14" s="41">
        <f>IF(OR(F14="",G14=""),"",F14-G14)</f>
        <v/>
      </c>
      <c r="I14" s="42">
        <f>IF(OR(F14="",F14=0),"",H14/F14)</f>
        <v/>
      </c>
      <c r="J14" s="43" t="n"/>
      <c r="K14" s="33" t="n"/>
      <c r="L14" s="31" t="n"/>
      <c r="M14" s="33" t="n"/>
      <c r="N14" s="40" t="n"/>
    </row>
    <row r="15" ht="27.75" customHeight="1" s="27">
      <c r="A15" s="39">
        <f>IF(B15="","","VAR-"&amp;TEXT(ROW()-4,"000"))</f>
        <v/>
      </c>
      <c r="B15" s="33" t="n"/>
      <c r="C15" s="40" t="n"/>
      <c r="D15" s="31" t="n"/>
      <c r="E15" s="31" t="n"/>
      <c r="F15" s="32" t="n"/>
      <c r="G15" s="32" t="n"/>
      <c r="H15" s="41">
        <f>IF(OR(F15="",G15=""),"",F15-G15)</f>
        <v/>
      </c>
      <c r="I15" s="42">
        <f>IF(OR(F15="",F15=0),"",H15/F15)</f>
        <v/>
      </c>
      <c r="J15" s="43" t="n"/>
      <c r="K15" s="33" t="n"/>
      <c r="L15" s="31" t="n"/>
      <c r="M15" s="33" t="n"/>
      <c r="N15" s="40" t="n"/>
    </row>
    <row r="16" ht="27.75" customHeight="1" s="27">
      <c r="A16" s="39">
        <f>IF(B16="","","VAR-"&amp;TEXT(ROW()-4,"000"))</f>
        <v/>
      </c>
      <c r="B16" s="33" t="n"/>
      <c r="C16" s="40" t="n"/>
      <c r="D16" s="31" t="n"/>
      <c r="E16" s="31" t="n"/>
      <c r="F16" s="32" t="n"/>
      <c r="G16" s="32" t="n"/>
      <c r="H16" s="41">
        <f>IF(OR(F16="",G16=""),"",F16-G16)</f>
        <v/>
      </c>
      <c r="I16" s="42">
        <f>IF(OR(F16="",F16=0),"",H16/F16)</f>
        <v/>
      </c>
      <c r="J16" s="43" t="n"/>
      <c r="K16" s="33" t="n"/>
      <c r="L16" s="31" t="n"/>
      <c r="M16" s="33" t="n"/>
      <c r="N16" s="40" t="n"/>
    </row>
    <row r="17" ht="27.75" customHeight="1" s="27">
      <c r="A17" s="39">
        <f>IF(B17="","","VAR-"&amp;TEXT(ROW()-4,"000"))</f>
        <v/>
      </c>
      <c r="B17" s="33" t="n"/>
      <c r="C17" s="40" t="n"/>
      <c r="D17" s="31" t="n"/>
      <c r="E17" s="31" t="n"/>
      <c r="F17" s="32" t="n"/>
      <c r="G17" s="32" t="n"/>
      <c r="H17" s="41">
        <f>IF(OR(F17="",G17=""),"",F17-G17)</f>
        <v/>
      </c>
      <c r="I17" s="42">
        <f>IF(OR(F17="",F17=0),"",H17/F17)</f>
        <v/>
      </c>
      <c r="J17" s="43" t="n"/>
      <c r="K17" s="33" t="n"/>
      <c r="L17" s="31" t="n"/>
      <c r="M17" s="33" t="n"/>
      <c r="N17" s="40" t="n"/>
    </row>
    <row r="18" ht="27.75" customHeight="1" s="27">
      <c r="A18" s="39">
        <f>IF(B18="","","VAR-"&amp;TEXT(ROW()-4,"000"))</f>
        <v/>
      </c>
      <c r="B18" s="33" t="n"/>
      <c r="C18" s="40" t="n"/>
      <c r="D18" s="31" t="n"/>
      <c r="E18" s="31" t="n"/>
      <c r="F18" s="32" t="n"/>
      <c r="G18" s="32" t="n"/>
      <c r="H18" s="41">
        <f>IF(OR(F18="",G18=""),"",F18-G18)</f>
        <v/>
      </c>
      <c r="I18" s="42">
        <f>IF(OR(F18="",F18=0),"",H18/F18)</f>
        <v/>
      </c>
      <c r="J18" s="43" t="n"/>
      <c r="K18" s="33" t="n"/>
      <c r="L18" s="31" t="n"/>
      <c r="M18" s="33" t="n"/>
      <c r="N18" s="40" t="n"/>
    </row>
    <row r="19" ht="27.75" customHeight="1" s="27">
      <c r="A19" s="39">
        <f>IF(B19="","","VAR-"&amp;TEXT(ROW()-4,"000"))</f>
        <v/>
      </c>
      <c r="B19" s="33" t="n"/>
      <c r="C19" s="40" t="n"/>
      <c r="D19" s="31" t="n"/>
      <c r="E19" s="31" t="n"/>
      <c r="F19" s="32" t="n"/>
      <c r="G19" s="32" t="n"/>
      <c r="H19" s="41">
        <f>IF(OR(F19="",G19=""),"",F19-G19)</f>
        <v/>
      </c>
      <c r="I19" s="42">
        <f>IF(OR(F19="",F19=0),"",H19/F19)</f>
        <v/>
      </c>
      <c r="J19" s="43" t="n"/>
      <c r="K19" s="33" t="n"/>
      <c r="L19" s="31" t="n"/>
      <c r="M19" s="33" t="n"/>
      <c r="N19" s="40" t="n"/>
    </row>
    <row r="20" ht="27.75" customHeight="1" s="27">
      <c r="A20" s="39">
        <f>IF(B20="","","VAR-"&amp;TEXT(ROW()-4,"000"))</f>
        <v/>
      </c>
      <c r="B20" s="33" t="n"/>
      <c r="C20" s="40" t="n"/>
      <c r="D20" s="31" t="n"/>
      <c r="E20" s="31" t="n"/>
      <c r="F20" s="32" t="n"/>
      <c r="G20" s="32" t="n"/>
      <c r="H20" s="41">
        <f>IF(OR(F20="",G20=""),"",F20-G20)</f>
        <v/>
      </c>
      <c r="I20" s="42">
        <f>IF(OR(F20="",F20=0),"",H20/F20)</f>
        <v/>
      </c>
      <c r="J20" s="43" t="n"/>
      <c r="K20" s="33" t="n"/>
      <c r="L20" s="31" t="n"/>
      <c r="M20" s="33" t="n"/>
      <c r="N20" s="40" t="n"/>
    </row>
    <row r="21" ht="27.75" customHeight="1" s="27">
      <c r="A21" s="39">
        <f>IF(B21="","","VAR-"&amp;TEXT(ROW()-4,"000"))</f>
        <v/>
      </c>
      <c r="B21" s="33" t="n"/>
      <c r="C21" s="40" t="n"/>
      <c r="D21" s="31" t="n"/>
      <c r="E21" s="31" t="n"/>
      <c r="F21" s="32" t="n"/>
      <c r="G21" s="32" t="n"/>
      <c r="H21" s="41">
        <f>IF(OR(F21="",G21=""),"",F21-G21)</f>
        <v/>
      </c>
      <c r="I21" s="42">
        <f>IF(OR(F21="",F21=0),"",H21/F21)</f>
        <v/>
      </c>
      <c r="J21" s="43" t="n"/>
      <c r="K21" s="33" t="n"/>
      <c r="L21" s="31" t="n"/>
      <c r="M21" s="33" t="n"/>
      <c r="N21" s="40" t="n"/>
    </row>
    <row r="22" ht="27.75" customHeight="1" s="27">
      <c r="A22" s="39">
        <f>IF(B22="","","VAR-"&amp;TEXT(ROW()-4,"000"))</f>
        <v/>
      </c>
      <c r="B22" s="33" t="n"/>
      <c r="C22" s="40" t="n"/>
      <c r="D22" s="31" t="n"/>
      <c r="E22" s="31" t="n"/>
      <c r="F22" s="32" t="n"/>
      <c r="G22" s="32" t="n"/>
      <c r="H22" s="41">
        <f>IF(OR(F22="",G22=""),"",F22-G22)</f>
        <v/>
      </c>
      <c r="I22" s="42">
        <f>IF(OR(F22="",F22=0),"",H22/F22)</f>
        <v/>
      </c>
      <c r="J22" s="43" t="n"/>
      <c r="K22" s="33" t="n"/>
      <c r="L22" s="31" t="n"/>
      <c r="M22" s="33" t="n"/>
      <c r="N22" s="40" t="n"/>
    </row>
    <row r="23" ht="27.75" customHeight="1" s="27">
      <c r="A23" s="39">
        <f>IF(B23="","","VAR-"&amp;TEXT(ROW()-4,"000"))</f>
        <v/>
      </c>
      <c r="B23" s="33" t="n"/>
      <c r="C23" s="40" t="n"/>
      <c r="D23" s="31" t="n"/>
      <c r="E23" s="31" t="n"/>
      <c r="F23" s="32" t="n"/>
      <c r="G23" s="32" t="n"/>
      <c r="H23" s="41">
        <f>IF(OR(F23="",G23=""),"",F23-G23)</f>
        <v/>
      </c>
      <c r="I23" s="42">
        <f>IF(OR(F23="",F23=0),"",H23/F23)</f>
        <v/>
      </c>
      <c r="J23" s="43" t="n"/>
      <c r="K23" s="33" t="n"/>
      <c r="L23" s="31" t="n"/>
      <c r="M23" s="33" t="n"/>
      <c r="N23" s="40" t="n"/>
    </row>
    <row r="24" ht="27.75" customHeight="1" s="27">
      <c r="A24" s="39">
        <f>IF(B24="","","VAR-"&amp;TEXT(ROW()-4,"000"))</f>
        <v/>
      </c>
      <c r="B24" s="33" t="n"/>
      <c r="C24" s="40" t="n"/>
      <c r="D24" s="31" t="n"/>
      <c r="E24" s="31" t="n"/>
      <c r="F24" s="32" t="n"/>
      <c r="G24" s="32" t="n"/>
      <c r="H24" s="41">
        <f>IF(OR(F24="",G24=""),"",F24-G24)</f>
        <v/>
      </c>
      <c r="I24" s="42">
        <f>IF(OR(F24="",F24=0),"",H24/F24)</f>
        <v/>
      </c>
      <c r="J24" s="43" t="n"/>
      <c r="K24" s="33" t="n"/>
      <c r="L24" s="31" t="n"/>
      <c r="M24" s="33" t="n"/>
      <c r="N24" s="40" t="n"/>
    </row>
    <row r="25" ht="27.75" customHeight="1" s="27">
      <c r="A25" s="39">
        <f>IF(B25="","","VAR-"&amp;TEXT(ROW()-4,"000"))</f>
        <v/>
      </c>
      <c r="B25" s="33" t="n"/>
      <c r="C25" s="40" t="n"/>
      <c r="D25" s="31" t="n"/>
      <c r="E25" s="31" t="n"/>
      <c r="F25" s="32" t="n"/>
      <c r="G25" s="32" t="n"/>
      <c r="H25" s="41">
        <f>IF(OR(F25="",G25=""),"",F25-G25)</f>
        <v/>
      </c>
      <c r="I25" s="42">
        <f>IF(OR(F25="",F25=0),"",H25/F25)</f>
        <v/>
      </c>
      <c r="J25" s="43" t="n"/>
      <c r="K25" s="33" t="n"/>
      <c r="L25" s="31" t="n"/>
      <c r="M25" s="33" t="n"/>
      <c r="N25" s="40" t="n"/>
    </row>
    <row r="26" ht="27.75" customHeight="1" s="27">
      <c r="A26" s="39">
        <f>IF(B26="","","VAR-"&amp;TEXT(ROW()-4,"000"))</f>
        <v/>
      </c>
      <c r="B26" s="33" t="n"/>
      <c r="C26" s="40" t="n"/>
      <c r="D26" s="31" t="n"/>
      <c r="E26" s="31" t="n"/>
      <c r="F26" s="32" t="n"/>
      <c r="G26" s="32" t="n"/>
      <c r="H26" s="41">
        <f>IF(OR(F26="",G26=""),"",F26-G26)</f>
        <v/>
      </c>
      <c r="I26" s="42">
        <f>IF(OR(F26="",F26=0),"",H26/F26)</f>
        <v/>
      </c>
      <c r="J26" s="43" t="n"/>
      <c r="K26" s="33" t="n"/>
      <c r="L26" s="31" t="n"/>
      <c r="M26" s="33" t="n"/>
      <c r="N26" s="40" t="n"/>
    </row>
    <row r="27" ht="27.75" customHeight="1" s="27">
      <c r="A27" s="39">
        <f>IF(B27="","","VAR-"&amp;TEXT(ROW()-4,"000"))</f>
        <v/>
      </c>
      <c r="B27" s="33" t="n"/>
      <c r="C27" s="40" t="n"/>
      <c r="D27" s="31" t="n"/>
      <c r="E27" s="31" t="n"/>
      <c r="F27" s="32" t="n"/>
      <c r="G27" s="32" t="n"/>
      <c r="H27" s="41">
        <f>IF(OR(F27="",G27=""),"",F27-G27)</f>
        <v/>
      </c>
      <c r="I27" s="42">
        <f>IF(OR(F27="",F27=0),"",H27/F27)</f>
        <v/>
      </c>
      <c r="J27" s="43" t="n"/>
      <c r="K27" s="33" t="n"/>
      <c r="L27" s="31" t="n"/>
      <c r="M27" s="33" t="n"/>
      <c r="N27" s="40" t="n"/>
    </row>
    <row r="28" ht="27.75" customHeight="1" s="27">
      <c r="A28" s="39">
        <f>IF(B28="","","VAR-"&amp;TEXT(ROW()-4,"000"))</f>
        <v/>
      </c>
      <c r="B28" s="33" t="n"/>
      <c r="C28" s="40" t="n"/>
      <c r="D28" s="31" t="n"/>
      <c r="E28" s="31" t="n"/>
      <c r="F28" s="32" t="n"/>
      <c r="G28" s="32" t="n"/>
      <c r="H28" s="41">
        <f>IF(OR(F28="",G28=""),"",F28-G28)</f>
        <v/>
      </c>
      <c r="I28" s="42">
        <f>IF(OR(F28="",F28=0),"",H28/F28)</f>
        <v/>
      </c>
      <c r="J28" s="43" t="n"/>
      <c r="K28" s="33" t="n"/>
      <c r="L28" s="31" t="n"/>
      <c r="M28" s="33" t="n"/>
      <c r="N28" s="40" t="n"/>
    </row>
    <row r="29" ht="27.75" customHeight="1" s="27">
      <c r="A29" s="39">
        <f>IF(B29="","","VAR-"&amp;TEXT(ROW()-4,"000"))</f>
        <v/>
      </c>
      <c r="B29" s="33" t="n"/>
      <c r="C29" s="40" t="n"/>
      <c r="D29" s="31" t="n"/>
      <c r="E29" s="31" t="n"/>
      <c r="F29" s="32" t="n"/>
      <c r="G29" s="32" t="n"/>
      <c r="H29" s="41">
        <f>IF(OR(F29="",G29=""),"",F29-G29)</f>
        <v/>
      </c>
      <c r="I29" s="42">
        <f>IF(OR(F29="",F29=0),"",H29/F29)</f>
        <v/>
      </c>
      <c r="J29" s="43" t="n"/>
      <c r="K29" s="33" t="n"/>
      <c r="L29" s="31" t="n"/>
      <c r="M29" s="33" t="n"/>
      <c r="N29" s="40" t="n"/>
    </row>
    <row r="30" ht="27.75" customHeight="1" s="27">
      <c r="A30" s="39">
        <f>IF(B30="","","VAR-"&amp;TEXT(ROW()-4,"000"))</f>
        <v/>
      </c>
      <c r="B30" s="33" t="n"/>
      <c r="C30" s="40" t="n"/>
      <c r="D30" s="31" t="n"/>
      <c r="E30" s="31" t="n"/>
      <c r="F30" s="32" t="n"/>
      <c r="G30" s="32" t="n"/>
      <c r="H30" s="41">
        <f>IF(OR(F30="",G30=""),"",F30-G30)</f>
        <v/>
      </c>
      <c r="I30" s="42">
        <f>IF(OR(F30="",F30=0),"",H30/F30)</f>
        <v/>
      </c>
      <c r="J30" s="43" t="n"/>
      <c r="K30" s="33" t="n"/>
      <c r="L30" s="31" t="n"/>
      <c r="M30" s="33" t="n"/>
      <c r="N30" s="40" t="n"/>
    </row>
    <row r="31" ht="27.75" customHeight="1" s="27">
      <c r="A31" s="39">
        <f>IF(B31="","","VAR-"&amp;TEXT(ROW()-4,"000"))</f>
        <v/>
      </c>
      <c r="B31" s="33" t="n"/>
      <c r="C31" s="40" t="n"/>
      <c r="D31" s="31" t="n"/>
      <c r="E31" s="31" t="n"/>
      <c r="F31" s="32" t="n"/>
      <c r="G31" s="32" t="n"/>
      <c r="H31" s="41">
        <f>IF(OR(F31="",G31=""),"",F31-G31)</f>
        <v/>
      </c>
      <c r="I31" s="42">
        <f>IF(OR(F31="",F31=0),"",H31/F31)</f>
        <v/>
      </c>
      <c r="J31" s="43" t="n"/>
      <c r="K31" s="33" t="n"/>
      <c r="L31" s="31" t="n"/>
      <c r="M31" s="33" t="n"/>
      <c r="N31" s="40" t="n"/>
    </row>
    <row r="32" ht="27.75" customHeight="1" s="27">
      <c r="A32" s="39">
        <f>IF(B32="","","VAR-"&amp;TEXT(ROW()-4,"000"))</f>
        <v/>
      </c>
      <c r="B32" s="33" t="n"/>
      <c r="C32" s="40" t="n"/>
      <c r="D32" s="31" t="n"/>
      <c r="E32" s="31" t="n"/>
      <c r="F32" s="32" t="n"/>
      <c r="G32" s="32" t="n"/>
      <c r="H32" s="41">
        <f>IF(OR(F32="",G32=""),"",F32-G32)</f>
        <v/>
      </c>
      <c r="I32" s="42">
        <f>IF(OR(F32="",F32=0),"",H32/F32)</f>
        <v/>
      </c>
      <c r="J32" s="43" t="n"/>
      <c r="K32" s="33" t="n"/>
      <c r="L32" s="31" t="n"/>
      <c r="M32" s="33" t="n"/>
      <c r="N32" s="40" t="n"/>
    </row>
    <row r="33" ht="27.75" customHeight="1" s="27">
      <c r="A33" s="39">
        <f>IF(B33="","","VAR-"&amp;TEXT(ROW()-4,"000"))</f>
        <v/>
      </c>
      <c r="B33" s="33" t="n"/>
      <c r="C33" s="40" t="n"/>
      <c r="D33" s="31" t="n"/>
      <c r="E33" s="31" t="n"/>
      <c r="F33" s="32" t="n"/>
      <c r="G33" s="32" t="n"/>
      <c r="H33" s="41">
        <f>IF(OR(F33="",G33=""),"",F33-G33)</f>
        <v/>
      </c>
      <c r="I33" s="42">
        <f>IF(OR(F33="",F33=0),"",H33/F33)</f>
        <v/>
      </c>
      <c r="J33" s="43" t="n"/>
      <c r="K33" s="33" t="n"/>
      <c r="L33" s="31" t="n"/>
      <c r="M33" s="33" t="n"/>
      <c r="N33" s="40" t="n"/>
    </row>
    <row r="34" ht="27.75" customHeight="1" s="27">
      <c r="A34" s="39">
        <f>IF(B34="","","VAR-"&amp;TEXT(ROW()-4,"000"))</f>
        <v/>
      </c>
      <c r="B34" s="33" t="n"/>
      <c r="C34" s="40" t="n"/>
      <c r="D34" s="31" t="n"/>
      <c r="E34" s="31" t="n"/>
      <c r="F34" s="32" t="n"/>
      <c r="G34" s="32" t="n"/>
      <c r="H34" s="41">
        <f>IF(OR(F34="",G34=""),"",F34-G34)</f>
        <v/>
      </c>
      <c r="I34" s="42">
        <f>IF(OR(F34="",F34=0),"",H34/F34)</f>
        <v/>
      </c>
      <c r="J34" s="43" t="n"/>
      <c r="K34" s="33" t="n"/>
      <c r="L34" s="31" t="n"/>
      <c r="M34" s="33" t="n"/>
      <c r="N34" s="40" t="n"/>
    </row>
    <row r="35" ht="27.75" customHeight="1" s="27">
      <c r="A35" s="39">
        <f>IF(B35="","","VAR-"&amp;TEXT(ROW()-4,"000"))</f>
        <v/>
      </c>
      <c r="B35" s="33" t="n"/>
      <c r="C35" s="40" t="n"/>
      <c r="D35" s="31" t="n"/>
      <c r="E35" s="31" t="n"/>
      <c r="F35" s="32" t="n"/>
      <c r="G35" s="32" t="n"/>
      <c r="H35" s="41">
        <f>IF(OR(F35="",G35=""),"",F35-G35)</f>
        <v/>
      </c>
      <c r="I35" s="42">
        <f>IF(OR(F35="",F35=0),"",H35/F35)</f>
        <v/>
      </c>
      <c r="J35" s="43" t="n"/>
      <c r="K35" s="33" t="n"/>
      <c r="L35" s="31" t="n"/>
      <c r="M35" s="33" t="n"/>
      <c r="N35" s="40" t="n"/>
    </row>
    <row r="36" ht="27.75" customHeight="1" s="27">
      <c r="A36" s="39">
        <f>IF(B36="","","VAR-"&amp;TEXT(ROW()-4,"000"))</f>
        <v/>
      </c>
      <c r="B36" s="33" t="n"/>
      <c r="C36" s="40" t="n"/>
      <c r="D36" s="31" t="n"/>
      <c r="E36" s="31" t="n"/>
      <c r="F36" s="32" t="n"/>
      <c r="G36" s="32" t="n"/>
      <c r="H36" s="41">
        <f>IF(OR(F36="",G36=""),"",F36-G36)</f>
        <v/>
      </c>
      <c r="I36" s="42">
        <f>IF(OR(F36="",F36=0),"",H36/F36)</f>
        <v/>
      </c>
      <c r="J36" s="43" t="n"/>
      <c r="K36" s="33" t="n"/>
      <c r="L36" s="31" t="n"/>
      <c r="M36" s="33" t="n"/>
      <c r="N36" s="40" t="n"/>
    </row>
    <row r="37" ht="27.75" customHeight="1" s="27">
      <c r="A37" s="39">
        <f>IF(B37="","","VAR-"&amp;TEXT(ROW()-4,"000"))</f>
        <v/>
      </c>
      <c r="B37" s="33" t="n"/>
      <c r="C37" s="40" t="n"/>
      <c r="D37" s="31" t="n"/>
      <c r="E37" s="31" t="n"/>
      <c r="F37" s="32" t="n"/>
      <c r="G37" s="32" t="n"/>
      <c r="H37" s="41">
        <f>IF(OR(F37="",G37=""),"",F37-G37)</f>
        <v/>
      </c>
      <c r="I37" s="42">
        <f>IF(OR(F37="",F37=0),"",H37/F37)</f>
        <v/>
      </c>
      <c r="J37" s="43" t="n"/>
      <c r="K37" s="33" t="n"/>
      <c r="L37" s="31" t="n"/>
      <c r="M37" s="33" t="n"/>
      <c r="N37" s="40" t="n"/>
    </row>
    <row r="38" ht="27.75" customHeight="1" s="27">
      <c r="A38" s="39">
        <f>IF(B38="","","VAR-"&amp;TEXT(ROW()-4,"000"))</f>
        <v/>
      </c>
      <c r="B38" s="33" t="n"/>
      <c r="C38" s="40" t="n"/>
      <c r="D38" s="31" t="n"/>
      <c r="E38" s="31" t="n"/>
      <c r="F38" s="32" t="n"/>
      <c r="G38" s="32" t="n"/>
      <c r="H38" s="41">
        <f>IF(OR(F38="",G38=""),"",F38-G38)</f>
        <v/>
      </c>
      <c r="I38" s="42">
        <f>IF(OR(F38="",F38=0),"",H38/F38)</f>
        <v/>
      </c>
      <c r="J38" s="43" t="n"/>
      <c r="K38" s="33" t="n"/>
      <c r="L38" s="31" t="n"/>
      <c r="M38" s="33" t="n"/>
      <c r="N38" s="40" t="n"/>
    </row>
    <row r="39" ht="27.75" customHeight="1" s="27">
      <c r="A39" s="39">
        <f>IF(B39="","","VAR-"&amp;TEXT(ROW()-4,"000"))</f>
        <v/>
      </c>
      <c r="B39" s="33" t="n"/>
      <c r="C39" s="40" t="n"/>
      <c r="D39" s="31" t="n"/>
      <c r="E39" s="31" t="n"/>
      <c r="F39" s="32" t="n"/>
      <c r="G39" s="32" t="n"/>
      <c r="H39" s="41">
        <f>IF(OR(F39="",G39=""),"",F39-G39)</f>
        <v/>
      </c>
      <c r="I39" s="42">
        <f>IF(OR(F39="",F39=0),"",H39/F39)</f>
        <v/>
      </c>
      <c r="J39" s="43" t="n"/>
      <c r="K39" s="33" t="n"/>
      <c r="L39" s="31" t="n"/>
      <c r="M39" s="33" t="n"/>
      <c r="N39" s="40" t="n"/>
    </row>
    <row r="40" ht="27.75" customHeight="1" s="27">
      <c r="A40" s="39">
        <f>IF(B40="","","VAR-"&amp;TEXT(ROW()-4,"000"))</f>
        <v/>
      </c>
      <c r="B40" s="33" t="n"/>
      <c r="C40" s="40" t="n"/>
      <c r="D40" s="31" t="n"/>
      <c r="E40" s="31" t="n"/>
      <c r="F40" s="32" t="n"/>
      <c r="G40" s="32" t="n"/>
      <c r="H40" s="41">
        <f>IF(OR(F40="",G40=""),"",F40-G40)</f>
        <v/>
      </c>
      <c r="I40" s="42">
        <f>IF(OR(F40="",F40=0),"",H40/F40)</f>
        <v/>
      </c>
      <c r="J40" s="43" t="n"/>
      <c r="K40" s="33" t="n"/>
      <c r="L40" s="31" t="n"/>
      <c r="M40" s="33" t="n"/>
      <c r="N40" s="40" t="n"/>
    </row>
    <row r="41" ht="27.75" customHeight="1" s="27">
      <c r="A41" s="39">
        <f>IF(B41="","","VAR-"&amp;TEXT(ROW()-4,"000"))</f>
        <v/>
      </c>
      <c r="B41" s="33" t="n"/>
      <c r="C41" s="40" t="n"/>
      <c r="D41" s="31" t="n"/>
      <c r="E41" s="31" t="n"/>
      <c r="F41" s="32" t="n"/>
      <c r="G41" s="32" t="n"/>
      <c r="H41" s="41">
        <f>IF(OR(F41="",G41=""),"",F41-G41)</f>
        <v/>
      </c>
      <c r="I41" s="42">
        <f>IF(OR(F41="",F41=0),"",H41/F41)</f>
        <v/>
      </c>
      <c r="J41" s="43" t="n"/>
      <c r="K41" s="33" t="n"/>
      <c r="L41" s="31" t="n"/>
      <c r="M41" s="33" t="n"/>
      <c r="N41" s="40" t="n"/>
    </row>
    <row r="42" ht="27.75" customHeight="1" s="27">
      <c r="A42" s="39">
        <f>IF(B42="","","VAR-"&amp;TEXT(ROW()-4,"000"))</f>
        <v/>
      </c>
      <c r="B42" s="33" t="n"/>
      <c r="C42" s="40" t="n"/>
      <c r="D42" s="31" t="n"/>
      <c r="E42" s="31" t="n"/>
      <c r="F42" s="32" t="n"/>
      <c r="G42" s="32" t="n"/>
      <c r="H42" s="41">
        <f>IF(OR(F42="",G42=""),"",F42-G42)</f>
        <v/>
      </c>
      <c r="I42" s="42">
        <f>IF(OR(F42="",F42=0),"",H42/F42)</f>
        <v/>
      </c>
      <c r="J42" s="43" t="n"/>
      <c r="K42" s="33" t="n"/>
      <c r="L42" s="31" t="n"/>
      <c r="M42" s="33" t="n"/>
      <c r="N42" s="40" t="n"/>
    </row>
    <row r="43" ht="27.75" customHeight="1" s="27">
      <c r="A43" s="39">
        <f>IF(B43="","","VAR-"&amp;TEXT(ROW()-4,"000"))</f>
        <v/>
      </c>
      <c r="B43" s="33" t="n"/>
      <c r="C43" s="40" t="n"/>
      <c r="D43" s="31" t="n"/>
      <c r="E43" s="31" t="n"/>
      <c r="F43" s="32" t="n"/>
      <c r="G43" s="32" t="n"/>
      <c r="H43" s="41">
        <f>IF(OR(F43="",G43=""),"",F43-G43)</f>
        <v/>
      </c>
      <c r="I43" s="42">
        <f>IF(OR(F43="",F43=0),"",H43/F43)</f>
        <v/>
      </c>
      <c r="J43" s="43" t="n"/>
      <c r="K43" s="33" t="n"/>
      <c r="L43" s="31" t="n"/>
      <c r="M43" s="33" t="n"/>
      <c r="N43" s="40" t="n"/>
    </row>
    <row r="44" ht="27.75" customHeight="1" s="27">
      <c r="A44" s="39">
        <f>IF(B44="","","VAR-"&amp;TEXT(ROW()-4,"000"))</f>
        <v/>
      </c>
      <c r="B44" s="33" t="n"/>
      <c r="C44" s="40" t="n"/>
      <c r="D44" s="31" t="n"/>
      <c r="E44" s="31" t="n"/>
      <c r="F44" s="32" t="n"/>
      <c r="G44" s="32" t="n"/>
      <c r="H44" s="41">
        <f>IF(OR(F44="",G44=""),"",F44-G44)</f>
        <v/>
      </c>
      <c r="I44" s="42">
        <f>IF(OR(F44="",F44=0),"",H44/F44)</f>
        <v/>
      </c>
      <c r="J44" s="43" t="n"/>
      <c r="K44" s="33" t="n"/>
      <c r="L44" s="31" t="n"/>
      <c r="M44" s="33" t="n"/>
      <c r="N44" s="40" t="n"/>
    </row>
    <row r="45" ht="27.75" customHeight="1" s="27">
      <c r="A45" s="39">
        <f>IF(B45="","","VAR-"&amp;TEXT(ROW()-4,"000"))</f>
        <v/>
      </c>
      <c r="B45" s="33" t="n"/>
      <c r="C45" s="40" t="n"/>
      <c r="D45" s="31" t="n"/>
      <c r="E45" s="31" t="n"/>
      <c r="F45" s="32" t="n"/>
      <c r="G45" s="32" t="n"/>
      <c r="H45" s="41">
        <f>IF(OR(F45="",G45=""),"",F45-G45)</f>
        <v/>
      </c>
      <c r="I45" s="42">
        <f>IF(OR(F45="",F45=0),"",H45/F45)</f>
        <v/>
      </c>
      <c r="J45" s="43" t="n"/>
      <c r="K45" s="33" t="n"/>
      <c r="L45" s="31" t="n"/>
      <c r="M45" s="33" t="n"/>
      <c r="N45" s="40" t="n"/>
    </row>
    <row r="46" ht="27.75" customHeight="1" s="27">
      <c r="A46" s="39">
        <f>IF(B46="","","VAR-"&amp;TEXT(ROW()-4,"000"))</f>
        <v/>
      </c>
      <c r="B46" s="33" t="n"/>
      <c r="C46" s="40" t="n"/>
      <c r="D46" s="31" t="n"/>
      <c r="E46" s="31" t="n"/>
      <c r="F46" s="32" t="n"/>
      <c r="G46" s="32" t="n"/>
      <c r="H46" s="41">
        <f>IF(OR(F46="",G46=""),"",F46-G46)</f>
        <v/>
      </c>
      <c r="I46" s="42">
        <f>IF(OR(F46="",F46=0),"",H46/F46)</f>
        <v/>
      </c>
      <c r="J46" s="43" t="n"/>
      <c r="K46" s="33" t="n"/>
      <c r="L46" s="31" t="n"/>
      <c r="M46" s="33" t="n"/>
      <c r="N46" s="40" t="n"/>
    </row>
    <row r="47" ht="27.75" customHeight="1" s="27">
      <c r="A47" s="39">
        <f>IF(B47="","","VAR-"&amp;TEXT(ROW()-4,"000"))</f>
        <v/>
      </c>
      <c r="B47" s="33" t="n"/>
      <c r="C47" s="40" t="n"/>
      <c r="D47" s="31" t="n"/>
      <c r="E47" s="31" t="n"/>
      <c r="F47" s="32" t="n"/>
      <c r="G47" s="32" t="n"/>
      <c r="H47" s="41">
        <f>IF(OR(F47="",G47=""),"",F47-G47)</f>
        <v/>
      </c>
      <c r="I47" s="42">
        <f>IF(OR(F47="",F47=0),"",H47/F47)</f>
        <v/>
      </c>
      <c r="J47" s="43" t="n"/>
      <c r="K47" s="33" t="n"/>
      <c r="L47" s="31" t="n"/>
      <c r="M47" s="33" t="n"/>
      <c r="N47" s="40" t="n"/>
    </row>
    <row r="48" ht="27.75" customHeight="1" s="27">
      <c r="A48" s="39">
        <f>IF(B48="","","VAR-"&amp;TEXT(ROW()-4,"000"))</f>
        <v/>
      </c>
      <c r="B48" s="33" t="n"/>
      <c r="C48" s="40" t="n"/>
      <c r="D48" s="31" t="n"/>
      <c r="E48" s="31" t="n"/>
      <c r="F48" s="32" t="n"/>
      <c r="G48" s="32" t="n"/>
      <c r="H48" s="41">
        <f>IF(OR(F48="",G48=""),"",F48-G48)</f>
        <v/>
      </c>
      <c r="I48" s="42">
        <f>IF(OR(F48="",F48=0),"",H48/F48)</f>
        <v/>
      </c>
      <c r="J48" s="43" t="n"/>
      <c r="K48" s="33" t="n"/>
      <c r="L48" s="31" t="n"/>
      <c r="M48" s="33" t="n"/>
      <c r="N48" s="40" t="n"/>
    </row>
    <row r="49" ht="27.75" customHeight="1" s="27">
      <c r="A49" s="39">
        <f>IF(B49="","","VAR-"&amp;TEXT(ROW()-4,"000"))</f>
        <v/>
      </c>
      <c r="B49" s="33" t="n"/>
      <c r="C49" s="40" t="n"/>
      <c r="D49" s="31" t="n"/>
      <c r="E49" s="31" t="n"/>
      <c r="F49" s="32" t="n"/>
      <c r="G49" s="32" t="n"/>
      <c r="H49" s="41">
        <f>IF(OR(F49="",G49=""),"",F49-G49)</f>
        <v/>
      </c>
      <c r="I49" s="42">
        <f>IF(OR(F49="",F49=0),"",H49/F49)</f>
        <v/>
      </c>
      <c r="J49" s="43" t="n"/>
      <c r="K49" s="33" t="n"/>
      <c r="L49" s="31" t="n"/>
      <c r="M49" s="33" t="n"/>
      <c r="N49" s="40" t="n"/>
    </row>
    <row r="50" ht="27.75" customHeight="1" s="27">
      <c r="A50" s="39">
        <f>IF(B50="","","VAR-"&amp;TEXT(ROW()-4,"000"))</f>
        <v/>
      </c>
      <c r="B50" s="33" t="n"/>
      <c r="C50" s="40" t="n"/>
      <c r="D50" s="31" t="n"/>
      <c r="E50" s="31" t="n"/>
      <c r="F50" s="32" t="n"/>
      <c r="G50" s="32" t="n"/>
      <c r="H50" s="41">
        <f>IF(OR(F50="",G50=""),"",F50-G50)</f>
        <v/>
      </c>
      <c r="I50" s="42">
        <f>IF(OR(F50="",F50=0),"",H50/F50)</f>
        <v/>
      </c>
      <c r="J50" s="43" t="n"/>
      <c r="K50" s="33" t="n"/>
      <c r="L50" s="31" t="n"/>
      <c r="M50" s="33" t="n"/>
      <c r="N50" s="40" t="n"/>
    </row>
    <row r="51" ht="27.75" customHeight="1" s="27">
      <c r="A51" s="39">
        <f>IF(B51="","","VAR-"&amp;TEXT(ROW()-4,"000"))</f>
        <v/>
      </c>
      <c r="B51" s="33" t="n"/>
      <c r="C51" s="40" t="n"/>
      <c r="D51" s="31" t="n"/>
      <c r="E51" s="31" t="n"/>
      <c r="F51" s="32" t="n"/>
      <c r="G51" s="32" t="n"/>
      <c r="H51" s="41">
        <f>IF(OR(F51="",G51=""),"",F51-G51)</f>
        <v/>
      </c>
      <c r="I51" s="42">
        <f>IF(OR(F51="",F51=0),"",H51/F51)</f>
        <v/>
      </c>
      <c r="J51" s="43" t="n"/>
      <c r="K51" s="33" t="n"/>
      <c r="L51" s="31" t="n"/>
      <c r="M51" s="33" t="n"/>
      <c r="N51" s="40" t="n"/>
    </row>
    <row r="52" ht="27.75" customHeight="1" s="27">
      <c r="A52" s="39">
        <f>IF(B52="","","VAR-"&amp;TEXT(ROW()-4,"000"))</f>
        <v/>
      </c>
      <c r="B52" s="33" t="n"/>
      <c r="C52" s="40" t="n"/>
      <c r="D52" s="31" t="n"/>
      <c r="E52" s="31" t="n"/>
      <c r="F52" s="32" t="n"/>
      <c r="G52" s="32" t="n"/>
      <c r="H52" s="41">
        <f>IF(OR(F52="",G52=""),"",F52-G52)</f>
        <v/>
      </c>
      <c r="I52" s="42">
        <f>IF(OR(F52="",F52=0),"",H52/F52)</f>
        <v/>
      </c>
      <c r="J52" s="43" t="n"/>
      <c r="K52" s="33" t="n"/>
      <c r="L52" s="31" t="n"/>
      <c r="M52" s="33" t="n"/>
      <c r="N52" s="40" t="n"/>
    </row>
    <row r="53" ht="27.75" customHeight="1" s="27">
      <c r="A53" s="39">
        <f>IF(B53="","","VAR-"&amp;TEXT(ROW()-4,"000"))</f>
        <v/>
      </c>
      <c r="B53" s="33" t="n"/>
      <c r="C53" s="40" t="n"/>
      <c r="D53" s="31" t="n"/>
      <c r="E53" s="31" t="n"/>
      <c r="F53" s="32" t="n"/>
      <c r="G53" s="32" t="n"/>
      <c r="H53" s="41">
        <f>IF(OR(F53="",G53=""),"",F53-G53)</f>
        <v/>
      </c>
      <c r="I53" s="42">
        <f>IF(OR(F53="",F53=0),"",H53/F53)</f>
        <v/>
      </c>
      <c r="J53" s="43" t="n"/>
      <c r="K53" s="33" t="n"/>
      <c r="L53" s="31" t="n"/>
      <c r="M53" s="33" t="n"/>
      <c r="N53" s="40" t="n"/>
    </row>
    <row r="54" ht="27.75" customHeight="1" s="27">
      <c r="A54" s="39">
        <f>IF(B54="","","VAR-"&amp;TEXT(ROW()-4,"000"))</f>
        <v/>
      </c>
      <c r="B54" s="33" t="n"/>
      <c r="C54" s="40" t="n"/>
      <c r="D54" s="31" t="n"/>
      <c r="E54" s="31" t="n"/>
      <c r="F54" s="32" t="n"/>
      <c r="G54" s="32" t="n"/>
      <c r="H54" s="41">
        <f>IF(OR(F54="",G54=""),"",F54-G54)</f>
        <v/>
      </c>
      <c r="I54" s="42">
        <f>IF(OR(F54="",F54=0),"",H54/F54)</f>
        <v/>
      </c>
      <c r="J54" s="43" t="n"/>
      <c r="K54" s="33" t="n"/>
      <c r="L54" s="31" t="n"/>
      <c r="M54" s="33" t="n"/>
      <c r="N54" s="40" t="n"/>
    </row>
  </sheetData>
  <mergeCells count="1">
    <mergeCell ref="A1:N1"/>
  </mergeCells>
  <dataValidations count="2">
    <dataValidation sqref="E5:E54" showDropDown="0" showInputMessage="0" showErrorMessage="0" allowBlank="1" error="Select from list" type="list" errorStyle="stop" operator="between">
      <formula1>"Requested,Priced,Approved,Rejected,Invoiced,Paid"</formula1>
      <formula2>0</formula2>
    </dataValidation>
    <dataValidation sqref="D5:D54" showDropDown="0" showInputMessage="0" showErrorMessage="0" allowBlank="1" type="list" errorStyle="stop" operator="between">
      <formula1>"Client Request,Latent Conditions,Compliance,Design Change,Other"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E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26" min="1" max="1"/>
    <col width="18" customWidth="1" style="26" min="2" max="2"/>
    <col width="14" customWidth="1" style="26" min="4" max="5"/>
  </cols>
  <sheetData>
    <row r="1" ht="31.5" customHeight="1" s="27">
      <c r="A1" s="35" t="inlineStr">
        <is>
          <t>VARIATION SUMMARY DASHBOARD</t>
        </is>
      </c>
    </row>
    <row r="3" ht="15" customHeight="1" s="27">
      <c r="A3" s="36" t="inlineStr">
        <is>
          <t>Project:</t>
        </is>
      </c>
      <c r="B3" s="37">
        <f>Setup!B13</f>
        <v/>
      </c>
      <c r="D3" s="36" t="inlineStr">
        <is>
          <t>Report Date:</t>
        </is>
      </c>
      <c r="E3" s="44">
        <f>TODAY()</f>
        <v/>
      </c>
    </row>
    <row r="5" ht="25.5" customHeight="1" s="27">
      <c r="A5" s="28" t="inlineStr">
        <is>
          <t>STATUS BREAKDOWN</t>
        </is>
      </c>
    </row>
    <row r="6" ht="15" customHeight="1" s="27">
      <c r="A6" s="45" t="inlineStr">
        <is>
          <t>Requested</t>
        </is>
      </c>
      <c r="B6" s="46">
        <f>COUNTIF('Variation Register'!E:E,"Requested")</f>
        <v/>
      </c>
    </row>
    <row r="7" ht="15" customHeight="1" s="27">
      <c r="A7" s="45" t="inlineStr">
        <is>
          <t>Priced</t>
        </is>
      </c>
      <c r="B7" s="46">
        <f>COUNTIF('Variation Register'!E:E,"Priced")</f>
        <v/>
      </c>
    </row>
    <row r="8" ht="15" customHeight="1" s="27">
      <c r="A8" s="45" t="inlineStr">
        <is>
          <t>Approved</t>
        </is>
      </c>
      <c r="B8" s="46">
        <f>COUNTIF('Variation Register'!E:E,"Approved")</f>
        <v/>
      </c>
    </row>
    <row r="9" ht="15" customHeight="1" s="27">
      <c r="A9" s="45" t="inlineStr">
        <is>
          <t>Rejected</t>
        </is>
      </c>
      <c r="B9" s="46">
        <f>COUNTIF('Variation Register'!E:E,"Rejected")</f>
        <v/>
      </c>
    </row>
    <row r="10" ht="15" customHeight="1" s="27">
      <c r="A10" s="45" t="inlineStr">
        <is>
          <t>Invoiced</t>
        </is>
      </c>
      <c r="B10" s="46">
        <f>COUNTIF('Variation Register'!E:E,"Invoiced")</f>
        <v/>
      </c>
    </row>
    <row r="11" ht="15" customHeight="1" s="27">
      <c r="A11" s="45" t="inlineStr">
        <is>
          <t>Paid</t>
        </is>
      </c>
      <c r="B11" s="46">
        <f>COUNTIF('Variation Register'!E:E,"Paid")</f>
        <v/>
      </c>
    </row>
    <row r="12" ht="15" customHeight="1" s="27">
      <c r="A12" s="45" t="inlineStr">
        <is>
          <t>TOTAL VARIATIONS</t>
        </is>
      </c>
      <c r="B12" s="39">
        <f>COUNTA('Variation Register'!B5:B54)</f>
        <v/>
      </c>
    </row>
    <row r="14" ht="25.5" customHeight="1" s="27">
      <c r="A14" s="28" t="inlineStr">
        <is>
          <t>FINANCIAL SUMMARY</t>
        </is>
      </c>
    </row>
    <row r="15" ht="15" customHeight="1" s="27">
      <c r="A15" s="45" t="inlineStr">
        <is>
          <t>Total Quoted (All)</t>
        </is>
      </c>
      <c r="B15" s="47">
        <f>SUM('Variation Register'!F:F)</f>
        <v/>
      </c>
    </row>
    <row r="16" ht="15" customHeight="1" s="27">
      <c r="A16" s="45" t="inlineStr">
        <is>
          <t>Total Quoted (Approved+)</t>
        </is>
      </c>
      <c r="B16" s="47">
        <f>SUMIF('Variation Register'!E:E,"Approved",'Variation Register'!F:F)+SUMIF('Variation Register'!E:E,"Invoiced",'Variation Register'!F:F)+SUMIF('Variation Register'!E:E,"Paid",'Variation Register'!F:F)</f>
        <v/>
      </c>
    </row>
    <row r="17" ht="15" customHeight="1" s="27">
      <c r="A17" s="45" t="inlineStr">
        <is>
          <t>Total Actual Cost</t>
        </is>
      </c>
      <c r="B17" s="47">
        <f>SUM('Variation Register'!G:G)</f>
        <v/>
      </c>
    </row>
    <row r="18" ht="15" customHeight="1" s="27">
      <c r="A18" s="45" t="inlineStr">
        <is>
          <t>Total Margin ($)</t>
        </is>
      </c>
      <c r="B18" s="47">
        <f>SUM('Variation Register'!H:H)</f>
        <v/>
      </c>
    </row>
    <row r="19" ht="15" customHeight="1" s="27">
      <c r="A19" s="45" t="inlineStr">
        <is>
          <t>Average Margin (%)</t>
        </is>
      </c>
      <c r="B19" s="48">
        <f>IFERROR(AVERAGE('Variation Register'!I:I),0)</f>
        <v/>
      </c>
    </row>
    <row r="20" ht="15" customHeight="1" s="27">
      <c r="A20" s="45" t="inlineStr">
        <is>
          <t>Total Days Impact</t>
        </is>
      </c>
      <c r="B20" s="49">
        <f>SUM('Variation Register'!J:J)</f>
        <v/>
      </c>
    </row>
    <row r="22" ht="25.5" customHeight="1" s="27">
      <c r="A22" s="28" t="inlineStr">
        <is>
          <t>CONTRACT IMPACT</t>
        </is>
      </c>
    </row>
    <row r="23" ht="15" customHeight="1" s="27">
      <c r="A23" s="45" t="inlineStr">
        <is>
          <t>Original Contract Sum (ex GST)</t>
        </is>
      </c>
      <c r="B23" s="47">
        <f>Setup!B18</f>
        <v/>
      </c>
    </row>
    <row r="24" ht="15" customHeight="1" s="27">
      <c r="A24" s="45" t="inlineStr">
        <is>
          <t>Approved Variations</t>
        </is>
      </c>
      <c r="B24" s="47">
        <f>B16</f>
        <v/>
      </c>
    </row>
    <row r="25" ht="15" customHeight="1" s="27">
      <c r="A25" s="45" t="inlineStr">
        <is>
          <t>Revised Contract Sum (ex GST)</t>
        </is>
      </c>
      <c r="B25" s="50">
        <f>B23+B24</f>
        <v/>
      </c>
    </row>
    <row r="26" ht="15" customHeight="1" s="27">
      <c r="A26" s="45" t="inlineStr">
        <is>
          <t>Variation % of Contract</t>
        </is>
      </c>
      <c r="B26" s="48">
        <f>IFERROR(B24/B23,0)</f>
        <v/>
      </c>
    </row>
  </sheetData>
  <mergeCells count="4">
    <mergeCell ref="A1:E1"/>
    <mergeCell ref="A14:B14"/>
    <mergeCell ref="A22:B22"/>
    <mergeCell ref="A5:B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B2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8" customWidth="1" style="26" min="1" max="1"/>
    <col width="65" customWidth="1" style="26" min="2" max="2"/>
  </cols>
  <sheetData>
    <row r="1" ht="31.5" customHeight="1" s="27">
      <c r="A1" s="51" t="inlineStr">
        <is>
          <t>HOW TO USE THIS VARIATION REGISTER</t>
        </is>
      </c>
    </row>
    <row r="3" ht="15" customHeight="1" s="27">
      <c r="A3" s="52" t="inlineStr">
        <is>
          <t>QUICK START</t>
        </is>
      </c>
    </row>
    <row r="4" ht="15" customHeight="1" s="27">
      <c r="A4" s="52" t="inlineStr">
        <is>
          <t>1. Setup</t>
        </is>
      </c>
      <c r="B4" s="37" t="inlineStr">
        <is>
          <t>Enter your business and project details in the Setup sheet.</t>
        </is>
      </c>
    </row>
    <row r="5" ht="15" customHeight="1" s="27">
      <c r="A5" s="52" t="inlineStr">
        <is>
          <t>2. New Variation</t>
        </is>
      </c>
      <c r="B5" s="37" t="inlineStr">
        <is>
          <t>On the Register, enter the date in column B - this activates the row.</t>
        </is>
      </c>
    </row>
    <row r="6" ht="15" customHeight="1" s="27">
      <c r="A6" s="52" t="inlineStr">
        <is>
          <t>3. Details</t>
        </is>
      </c>
      <c r="B6" s="37" t="inlineStr">
        <is>
          <t>Fill in description, select reason and status from dropdowns.</t>
        </is>
      </c>
    </row>
    <row r="7" ht="15" customHeight="1" s="27">
      <c r="A7" s="52" t="inlineStr">
        <is>
          <t>4. Costs</t>
        </is>
      </c>
      <c r="B7" s="37" t="inlineStr">
        <is>
          <t>Enter Quoted amount (to client) and Actual cost (your cost).</t>
        </is>
      </c>
    </row>
    <row r="8" ht="15" customHeight="1" s="27">
      <c r="A8" s="52" t="inlineStr">
        <is>
          <t>5. Update</t>
        </is>
      </c>
      <c r="B8" s="37" t="inlineStr">
        <is>
          <t>Keep status current as variations progress through approval.</t>
        </is>
      </c>
    </row>
    <row r="9" ht="15" customHeight="1" s="27">
      <c r="A9" s="52" t="inlineStr">
        <is>
          <t>6. Review</t>
        </is>
      </c>
      <c r="B9" s="37" t="inlineStr">
        <is>
          <t>Check the Summary dashboard for totals and margin performance.</t>
        </is>
      </c>
    </row>
    <row r="11" ht="15" customHeight="1" s="27">
      <c r="A11" s="52" t="inlineStr">
        <is>
          <t>STATUS WORKFLOW</t>
        </is>
      </c>
    </row>
    <row r="12" ht="15" customHeight="1" s="27">
      <c r="A12" s="52" t="inlineStr">
        <is>
          <t>Requested</t>
        </is>
      </c>
      <c r="B12" s="37" t="inlineStr">
        <is>
          <t>Client has asked for a change</t>
        </is>
      </c>
    </row>
    <row r="13" ht="15" customHeight="1" s="27">
      <c r="A13" s="52" t="inlineStr">
        <is>
          <t>Priced</t>
        </is>
      </c>
      <c r="B13" s="37" t="inlineStr">
        <is>
          <t>You have issued a Priced Variation Notice</t>
        </is>
      </c>
    </row>
    <row r="14" ht="15" customHeight="1" s="27">
      <c r="A14" s="52" t="inlineStr">
        <is>
          <t>Approved</t>
        </is>
      </c>
      <c r="B14" s="37" t="inlineStr">
        <is>
          <t>Client has signed approval</t>
        </is>
      </c>
    </row>
    <row r="15" ht="15" customHeight="1" s="27">
      <c r="A15" s="52" t="inlineStr">
        <is>
          <t>Rejected</t>
        </is>
      </c>
      <c r="B15" s="37" t="inlineStr">
        <is>
          <t>Client declined the variation</t>
        </is>
      </c>
    </row>
    <row r="16" ht="15" customHeight="1" s="27">
      <c r="A16" s="52" t="inlineStr">
        <is>
          <t>Invoiced</t>
        </is>
      </c>
      <c r="B16" s="37" t="inlineStr">
        <is>
          <t>Included in a progress claim</t>
        </is>
      </c>
    </row>
    <row r="17" ht="15" customHeight="1" s="27">
      <c r="A17" s="52" t="inlineStr">
        <is>
          <t>Paid</t>
        </is>
      </c>
      <c r="B17" s="37" t="inlineStr">
        <is>
          <t>Payment received</t>
        </is>
      </c>
    </row>
    <row r="19" ht="15" customHeight="1" s="27">
      <c r="A19" s="52" t="inlineStr">
        <is>
          <t>CELL COLOURS</t>
        </is>
      </c>
    </row>
    <row r="20" ht="15" customHeight="1" s="27">
      <c r="A20" s="52" t="inlineStr">
        <is>
          <t>Yellow</t>
        </is>
      </c>
      <c r="B20" s="37" t="inlineStr">
        <is>
          <t>Input cells - enter your data here</t>
        </is>
      </c>
    </row>
    <row r="21" ht="15" customHeight="1" s="27">
      <c r="A21" s="52" t="inlineStr">
        <is>
          <t>Green</t>
        </is>
      </c>
      <c r="B21" s="37" t="inlineStr">
        <is>
          <t>Calculated fields - do not edit (formulas will break)</t>
        </is>
      </c>
    </row>
    <row r="23" ht="15" customHeight="1" s="27">
      <c r="A23" s="52" t="inlineStr">
        <is>
          <t>TIPS</t>
        </is>
      </c>
    </row>
    <row r="24" ht="15" customHeight="1" s="27">
      <c r="B24" s="37" t="inlineStr">
        <is>
          <t>- Margin calculates automatically from Quoted minus Actual</t>
        </is>
      </c>
    </row>
    <row r="25" ht="15" customHeight="1" s="27">
      <c r="B25" s="37" t="inlineStr">
        <is>
          <t>- The Summary shows only Approved/Invoiced/Paid in contract totals</t>
        </is>
      </c>
    </row>
    <row r="26" ht="15" customHeight="1" s="27">
      <c r="B26" s="37" t="inlineStr">
        <is>
          <t>- Back up this file regularly</t>
        </is>
      </c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2026-01-26T08:17:46Z</dcterms:created>
  <dcterms:modified xmlns:dcterms="http://purl.org/dc/terms/" xmlns:xsi="http://www.w3.org/2001/XMLSchema-instance" xsi:type="dcterms:W3CDTF">2026-10-16T10:47:14Z</dcterms:modified>
  <cp:revision>0</cp:revision>
</cp:coreProperties>
</file>