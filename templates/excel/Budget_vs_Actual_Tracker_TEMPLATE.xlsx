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Budget vs Actual" sheetId="2" state="visible" r:id="rId2"/>
    <sheet xmlns:r="http://schemas.openxmlformats.org/officeDocument/2006/relationships" name="Instruction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sz val="11"/>
    </font>
    <font>
      <name val="Cambria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E8F5E9"/>
        <bgColor rgb="FFF5F5F5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general" vertical="bottom"/>
    </xf>
    <xf numFmtId="9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9" fontId="7" fillId="4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general" vertical="bottom"/>
    </xf>
    <xf numFmtId="9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9" fontId="7" fillId="4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03366"/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2" min="1" max="1"/>
    <col width="40" customWidth="1" style="12" min="2" max="2"/>
  </cols>
  <sheetData>
    <row r="1" ht="15" customHeight="1" s="13">
      <c r="A1" s="14" t="inlineStr">
        <is>
          <t>BUSINESS SETUP</t>
        </is>
      </c>
    </row>
    <row r="2" ht="15" customHeight="1" s="13">
      <c r="A2" s="15" t="inlineStr">
        <is>
          <t>Enter your details — they appear across all sheets.</t>
        </is>
      </c>
    </row>
    <row r="4" ht="15" customHeight="1" s="13">
      <c r="A4" s="16" t="inlineStr">
        <is>
          <t>Business Name:</t>
        </is>
      </c>
      <c r="B4" s="17" t="n"/>
    </row>
    <row r="5" ht="15" customHeight="1" s="13">
      <c r="A5" s="16" t="inlineStr">
        <is>
          <t>ABN:</t>
        </is>
      </c>
      <c r="B5" s="17" t="n"/>
    </row>
    <row r="6" ht="15" customHeight="1" s="13">
      <c r="A6" s="16" t="inlineStr">
        <is>
          <t>Builder Licence:</t>
        </is>
      </c>
      <c r="B6" s="17" t="n"/>
    </row>
    <row r="7" ht="15" customHeight="1" s="13">
      <c r="A7" s="16" t="inlineStr">
        <is>
          <t>Address:</t>
        </is>
      </c>
      <c r="B7" s="17" t="n"/>
    </row>
    <row r="8" ht="15" customHeight="1" s="13">
      <c r="A8" s="16" t="inlineStr">
        <is>
          <t>Phone:</t>
        </is>
      </c>
      <c r="B8" s="17" t="n"/>
    </row>
    <row r="9" ht="15" customHeight="1" s="13">
      <c r="A9" s="16" t="inlineStr">
        <is>
          <t>Email:</t>
        </is>
      </c>
      <c r="B9" s="17" t="n"/>
    </row>
    <row r="11" ht="15" customHeight="1" s="13">
      <c r="A11" s="14" t="inlineStr">
        <is>
          <t>PROJECT SETUP</t>
        </is>
      </c>
    </row>
    <row r="13" ht="15" customHeight="1" s="13">
      <c r="A13" s="16" t="inlineStr">
        <is>
          <t>Project Name:</t>
        </is>
      </c>
      <c r="B13" s="17" t="n"/>
    </row>
    <row r="14" ht="15" customHeight="1" s="13">
      <c r="A14" s="16" t="inlineStr">
        <is>
          <t>Project Address:</t>
        </is>
      </c>
      <c r="B14" s="17" t="n"/>
    </row>
    <row r="15" ht="15" customHeight="1" s="13">
      <c r="A15" s="16" t="inlineStr">
        <is>
          <t>Client Name:</t>
        </is>
      </c>
      <c r="B15" s="17" t="n"/>
    </row>
    <row r="16" ht="15" customHeight="1" s="13">
      <c r="A16" s="16" t="inlineStr">
        <is>
          <t>Client Phone:</t>
        </is>
      </c>
      <c r="B16" s="17" t="n"/>
    </row>
    <row r="17" ht="15" customHeight="1" s="13">
      <c r="A17" s="16" t="inlineStr">
        <is>
          <t>Client Email:</t>
        </is>
      </c>
      <c r="B17" s="17" t="n"/>
    </row>
    <row r="18" ht="15" customHeight="1" s="13">
      <c r="A18" s="16" t="inlineStr">
        <is>
          <t>Contract Number:</t>
        </is>
      </c>
      <c r="B18" s="17" t="n"/>
    </row>
    <row r="19" ht="23.85" customHeight="1" s="13">
      <c r="A19" s="16" t="inlineStr">
        <is>
          <t>Contract Sum (incl GST):</t>
        </is>
      </c>
      <c r="B19" s="17" t="n"/>
    </row>
  </sheetData>
  <mergeCells count="2">
    <mergeCell ref="A11:B11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03366"/>
    <outlinePr summaryBelow="1" summaryRight="1"/>
    <pageSetUpPr fitToPage="0"/>
  </sheetPr>
  <dimension ref="A1:J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2" min="1" max="1"/>
    <col width="14" customWidth="1" style="12" min="2" max="6"/>
    <col width="10" customWidth="1" style="12" min="7" max="7"/>
    <col width="12" customWidth="1" style="12" min="8" max="8"/>
    <col width="25" customWidth="1" style="12" min="9" max="9"/>
  </cols>
  <sheetData>
    <row r="1" ht="15" customHeight="1" s="13">
      <c r="A1" s="14" t="inlineStr">
        <is>
          <t>BUDGET vs ACTUAL TRACKER</t>
        </is>
      </c>
    </row>
    <row r="2" ht="15" customHeight="1" s="13">
      <c r="A2" s="16" t="inlineStr">
        <is>
          <t>Project:</t>
        </is>
      </c>
      <c r="B2" s="17">
        <f>Setup!B13</f>
        <v/>
      </c>
    </row>
    <row r="4" ht="28.35" customHeight="1" s="13">
      <c r="A4" s="18" t="inlineStr">
        <is>
          <t>Trade/Item</t>
        </is>
      </c>
      <c r="B4" s="18" t="inlineStr">
        <is>
          <t>Budget ($)</t>
        </is>
      </c>
      <c r="C4" s="18" t="inlineStr">
        <is>
          <t>Committed ($)</t>
        </is>
      </c>
      <c r="D4" s="18" t="inlineStr">
        <is>
          <t>Spent ($)</t>
        </is>
      </c>
      <c r="E4" s="18" t="inlineStr">
        <is>
          <t>Remaining ($)</t>
        </is>
      </c>
      <c r="F4" s="18" t="inlineStr">
        <is>
          <t>Variance ($)</t>
        </is>
      </c>
      <c r="G4" s="18" t="inlineStr">
        <is>
          <t>% Used</t>
        </is>
      </c>
      <c r="H4" s="18" t="inlineStr">
        <is>
          <t>Status</t>
        </is>
      </c>
      <c r="I4" s="18" t="inlineStr">
        <is>
          <t>Notes</t>
        </is>
      </c>
      <c r="J4" t="inlineStr">
        <is>
          <t>Variance = budget less committed (or spent, if higher). Negative = forecast overrun.</t>
        </is>
      </c>
    </row>
    <row r="5" ht="15" customHeight="1" s="13">
      <c r="A5" s="16" t="inlineStr">
        <is>
          <t>Preliminaries</t>
        </is>
      </c>
      <c r="B5" s="17" t="n"/>
      <c r="C5" s="17" t="n"/>
      <c r="D5" s="17" t="n"/>
      <c r="E5" s="19">
        <f>IF(B5="","",B5-D5)</f>
        <v/>
      </c>
      <c r="F5" s="19">
        <f>IF(B5="","",B5-MAX(C5,D5))</f>
        <v/>
      </c>
      <c r="G5" s="20">
        <f>IF(B5="","",D5/B5)</f>
        <v/>
      </c>
      <c r="H5" s="17" t="n"/>
      <c r="I5" s="17" t="n"/>
    </row>
    <row r="6" ht="15" customHeight="1" s="13">
      <c r="A6" s="16" t="inlineStr">
        <is>
          <t>Demolition</t>
        </is>
      </c>
      <c r="B6" s="17" t="n"/>
      <c r="C6" s="17" t="n"/>
      <c r="D6" s="17" t="n"/>
      <c r="E6" s="19">
        <f>IF(B6="","",B6-D6)</f>
        <v/>
      </c>
      <c r="F6" s="19">
        <f>IF(B6="","",B6-MAX(C6,D6))</f>
        <v/>
      </c>
      <c r="G6" s="20">
        <f>IF(B6="","",D6/B6)</f>
        <v/>
      </c>
      <c r="H6" s="17" t="n"/>
      <c r="I6" s="17" t="n"/>
    </row>
    <row r="7" ht="15" customHeight="1" s="13">
      <c r="A7" s="16" t="inlineStr">
        <is>
          <t>Excavation</t>
        </is>
      </c>
      <c r="B7" s="17" t="n"/>
      <c r="C7" s="17" t="n"/>
      <c r="D7" s="17" t="n"/>
      <c r="E7" s="19">
        <f>IF(B7="","",B7-D7)</f>
        <v/>
      </c>
      <c r="F7" s="19">
        <f>IF(B7="","",B7-MAX(C7,D7))</f>
        <v/>
      </c>
      <c r="G7" s="20">
        <f>IF(B7="","",D7/B7)</f>
        <v/>
      </c>
      <c r="H7" s="17" t="n"/>
      <c r="I7" s="17" t="n"/>
    </row>
    <row r="8" ht="15" customHeight="1" s="13">
      <c r="A8" s="16" t="inlineStr">
        <is>
          <t>Concrete</t>
        </is>
      </c>
      <c r="B8" s="17" t="n"/>
      <c r="C8" s="17" t="n"/>
      <c r="D8" s="17" t="n"/>
      <c r="E8" s="19">
        <f>IF(B8="","",B8-D8)</f>
        <v/>
      </c>
      <c r="F8" s="19">
        <f>IF(B8="","",B8-MAX(C8,D8))</f>
        <v/>
      </c>
      <c r="G8" s="20">
        <f>IF(B8="","",D8/B8)</f>
        <v/>
      </c>
      <c r="H8" s="17" t="n"/>
      <c r="I8" s="17" t="n"/>
    </row>
    <row r="9" ht="15" customHeight="1" s="13">
      <c r="A9" s="16" t="inlineStr">
        <is>
          <t>Framing</t>
        </is>
      </c>
      <c r="B9" s="17" t="n"/>
      <c r="C9" s="17" t="n"/>
      <c r="D9" s="17" t="n"/>
      <c r="E9" s="19">
        <f>IF(B9="","",B9-D9)</f>
        <v/>
      </c>
      <c r="F9" s="19">
        <f>IF(B9="","",B9-MAX(C9,D9))</f>
        <v/>
      </c>
      <c r="G9" s="20">
        <f>IF(B9="","",D9/B9)</f>
        <v/>
      </c>
      <c r="H9" s="17" t="n"/>
      <c r="I9" s="17" t="n"/>
    </row>
    <row r="10" ht="15" customHeight="1" s="13">
      <c r="A10" s="16" t="inlineStr">
        <is>
          <t>Roofing</t>
        </is>
      </c>
      <c r="B10" s="17" t="n"/>
      <c r="C10" s="17" t="n"/>
      <c r="D10" s="17" t="n"/>
      <c r="E10" s="19">
        <f>IF(B10="","",B10-D10)</f>
        <v/>
      </c>
      <c r="F10" s="19">
        <f>IF(B10="","",B10-MAX(C10,D10))</f>
        <v/>
      </c>
      <c r="G10" s="20">
        <f>IF(B10="","",D10/B10)</f>
        <v/>
      </c>
      <c r="H10" s="17" t="n"/>
      <c r="I10" s="17" t="n"/>
    </row>
    <row r="11" ht="15" customHeight="1" s="13">
      <c r="A11" s="16" t="inlineStr">
        <is>
          <t>Brickwork/Cladding</t>
        </is>
      </c>
      <c r="B11" s="17" t="n"/>
      <c r="C11" s="17" t="n"/>
      <c r="D11" s="17" t="n"/>
      <c r="E11" s="19">
        <f>IF(B11="","",B11-D11)</f>
        <v/>
      </c>
      <c r="F11" s="19">
        <f>IF(B11="","",B11-MAX(C11,D11))</f>
        <v/>
      </c>
      <c r="G11" s="20">
        <f>IF(B11="","",D11/B11)</f>
        <v/>
      </c>
      <c r="H11" s="17" t="n"/>
      <c r="I11" s="17" t="n"/>
    </row>
    <row r="12" ht="15" customHeight="1" s="13">
      <c r="A12" s="16" t="inlineStr">
        <is>
          <t>Windows/Doors</t>
        </is>
      </c>
      <c r="B12" s="17" t="n"/>
      <c r="C12" s="17" t="n"/>
      <c r="D12" s="17" t="n"/>
      <c r="E12" s="19">
        <f>IF(B12="","",B12-D12)</f>
        <v/>
      </c>
      <c r="F12" s="19">
        <f>IF(B12="","",B12-MAX(C12,D12))</f>
        <v/>
      </c>
      <c r="G12" s="20">
        <f>IF(B12="","",D12/B12)</f>
        <v/>
      </c>
      <c r="H12" s="17" t="n"/>
      <c r="I12" s="17" t="n"/>
    </row>
    <row r="13" ht="15" customHeight="1" s="13">
      <c r="A13" s="16" t="inlineStr">
        <is>
          <t>Plumbing</t>
        </is>
      </c>
      <c r="B13" s="17" t="n"/>
      <c r="C13" s="17" t="n"/>
      <c r="D13" s="17" t="n"/>
      <c r="E13" s="19">
        <f>IF(B13="","",B13-D13)</f>
        <v/>
      </c>
      <c r="F13" s="19">
        <f>IF(B13="","",B13-MAX(C13,D13))</f>
        <v/>
      </c>
      <c r="G13" s="20">
        <f>IF(B13="","",D13/B13)</f>
        <v/>
      </c>
      <c r="H13" s="17" t="n"/>
      <c r="I13" s="17" t="n"/>
    </row>
    <row r="14" ht="15" customHeight="1" s="13">
      <c r="A14" s="16" t="inlineStr">
        <is>
          <t>Electrical</t>
        </is>
      </c>
      <c r="B14" s="17" t="n"/>
      <c r="C14" s="17" t="n"/>
      <c r="D14" s="17" t="n"/>
      <c r="E14" s="19">
        <f>IF(B14="","",B14-D14)</f>
        <v/>
      </c>
      <c r="F14" s="19">
        <f>IF(B14="","",B14-MAX(C14,D14))</f>
        <v/>
      </c>
      <c r="G14" s="20">
        <f>IF(B14="","",D14/B14)</f>
        <v/>
      </c>
      <c r="H14" s="17" t="n"/>
      <c r="I14" s="17" t="n"/>
    </row>
    <row r="15" ht="15" customHeight="1" s="13">
      <c r="A15" s="16" t="inlineStr">
        <is>
          <t>Insulation</t>
        </is>
      </c>
      <c r="B15" s="17" t="n"/>
      <c r="C15" s="17" t="n"/>
      <c r="D15" s="17" t="n"/>
      <c r="E15" s="19">
        <f>IF(B15="","",B15-D15)</f>
        <v/>
      </c>
      <c r="F15" s="19">
        <f>IF(B15="","",B15-MAX(C15,D15))</f>
        <v/>
      </c>
      <c r="G15" s="20">
        <f>IF(B15="","",D15/B15)</f>
        <v/>
      </c>
      <c r="H15" s="17" t="n"/>
      <c r="I15" s="17" t="n"/>
    </row>
    <row r="16" ht="15" customHeight="1" s="13">
      <c r="A16" s="16" t="inlineStr">
        <is>
          <t>Plasterboard</t>
        </is>
      </c>
      <c r="B16" s="17" t="n"/>
      <c r="C16" s="17" t="n"/>
      <c r="D16" s="17" t="n"/>
      <c r="E16" s="19">
        <f>IF(B16="","",B16-D16)</f>
        <v/>
      </c>
      <c r="F16" s="19">
        <f>IF(B16="","",B16-MAX(C16,D16))</f>
        <v/>
      </c>
      <c r="G16" s="20">
        <f>IF(B16="","",D16/B16)</f>
        <v/>
      </c>
      <c r="H16" s="17" t="n"/>
      <c r="I16" s="17" t="n"/>
    </row>
    <row r="17" ht="15" customHeight="1" s="13">
      <c r="A17" s="16" t="inlineStr">
        <is>
          <t>Tiling</t>
        </is>
      </c>
      <c r="B17" s="17" t="n"/>
      <c r="C17" s="17" t="n"/>
      <c r="D17" s="17" t="n"/>
      <c r="E17" s="19">
        <f>IF(B17="","",B17-D17)</f>
        <v/>
      </c>
      <c r="F17" s="19">
        <f>IF(B17="","",B17-MAX(C17,D17))</f>
        <v/>
      </c>
      <c r="G17" s="20">
        <f>IF(B17="","",D17/B17)</f>
        <v/>
      </c>
      <c r="H17" s="17" t="n"/>
      <c r="I17" s="17" t="n"/>
    </row>
    <row r="18" ht="15" customHeight="1" s="13">
      <c r="A18" s="16" t="inlineStr">
        <is>
          <t>Joinery</t>
        </is>
      </c>
      <c r="B18" s="17" t="n"/>
      <c r="C18" s="17" t="n"/>
      <c r="D18" s="17" t="n"/>
      <c r="E18" s="19">
        <f>IF(B18="","",B18-D18)</f>
        <v/>
      </c>
      <c r="F18" s="19">
        <f>IF(B18="","",B18-MAX(C18,D18))</f>
        <v/>
      </c>
      <c r="G18" s="20">
        <f>IF(B18="","",D18/B18)</f>
        <v/>
      </c>
      <c r="H18" s="17" t="n"/>
      <c r="I18" s="17" t="n"/>
    </row>
    <row r="19" ht="15" customHeight="1" s="13">
      <c r="A19" s="16" t="inlineStr">
        <is>
          <t>Painting</t>
        </is>
      </c>
      <c r="B19" s="17" t="n"/>
      <c r="C19" s="17" t="n"/>
      <c r="D19" s="17" t="n"/>
      <c r="E19" s="19">
        <f>IF(B19="","",B19-D19)</f>
        <v/>
      </c>
      <c r="F19" s="19">
        <f>IF(B19="","",B19-MAX(C19,D19))</f>
        <v/>
      </c>
      <c r="G19" s="20">
        <f>IF(B19="","",D19/B19)</f>
        <v/>
      </c>
      <c r="H19" s="17" t="n"/>
      <c r="I19" s="17" t="n"/>
    </row>
    <row r="20" ht="15" customHeight="1" s="13">
      <c r="A20" s="16" t="inlineStr">
        <is>
          <t>Flooring</t>
        </is>
      </c>
      <c r="B20" s="17" t="n"/>
      <c r="C20" s="17" t="n"/>
      <c r="D20" s="17" t="n"/>
      <c r="E20" s="19">
        <f>IF(B20="","",B20-D20)</f>
        <v/>
      </c>
      <c r="F20" s="19">
        <f>IF(B20="","",B20-MAX(C20,D20))</f>
        <v/>
      </c>
      <c r="G20" s="20">
        <f>IF(B20="","",D20/B20)</f>
        <v/>
      </c>
      <c r="H20" s="17" t="n"/>
      <c r="I20" s="17" t="n"/>
    </row>
    <row r="21" ht="15" customHeight="1" s="13">
      <c r="A21" s="16" t="inlineStr">
        <is>
          <t>Landscaping</t>
        </is>
      </c>
      <c r="B21" s="17" t="n"/>
      <c r="C21" s="17" t="n"/>
      <c r="D21" s="17" t="n"/>
      <c r="E21" s="19">
        <f>IF(B21="","",B21-D21)</f>
        <v/>
      </c>
      <c r="F21" s="19">
        <f>IF(B21="","",B21-MAX(C21,D21))</f>
        <v/>
      </c>
      <c r="G21" s="20">
        <f>IF(B21="","",D21/B21)</f>
        <v/>
      </c>
      <c r="H21" s="17" t="n"/>
      <c r="I21" s="17" t="n"/>
    </row>
    <row r="22" ht="15" customHeight="1" s="13">
      <c r="A22" s="16" t="inlineStr">
        <is>
          <t>Contingency</t>
        </is>
      </c>
      <c r="B22" s="17" t="n"/>
      <c r="C22" s="17" t="n"/>
      <c r="D22" s="17" t="n"/>
      <c r="E22" s="19">
        <f>IF(B22="","",B22-D22)</f>
        <v/>
      </c>
      <c r="F22" s="19">
        <f>IF(B22="","",B22-MAX(C22,D22))</f>
        <v/>
      </c>
      <c r="G22" s="20">
        <f>IF(B22="","",D22/B22)</f>
        <v/>
      </c>
      <c r="H22" s="17" t="n"/>
      <c r="I22" s="17" t="n"/>
    </row>
    <row r="23" ht="15" customHeight="1" s="13">
      <c r="A23" s="16" t="inlineStr">
        <is>
          <t>Other</t>
        </is>
      </c>
      <c r="B23" s="17" t="n"/>
      <c r="C23" s="17" t="n"/>
      <c r="D23" s="17" t="n"/>
      <c r="E23" s="19">
        <f>IF(B23="","",B23-D23)</f>
        <v/>
      </c>
      <c r="F23" s="19">
        <f>IF(B23="","",B23-MAX(C23,D23))</f>
        <v/>
      </c>
      <c r="G23" s="20">
        <f>IF(B23="","",D23/B23)</f>
        <v/>
      </c>
      <c r="H23" s="17" t="n"/>
      <c r="I23" s="17" t="n"/>
    </row>
    <row r="24" ht="15" customHeight="1" s="13">
      <c r="A24" s="16" t="inlineStr">
        <is>
          <t>TOTAL</t>
        </is>
      </c>
      <c r="B24" s="21">
        <f>SUM(B5:B23)</f>
        <v/>
      </c>
      <c r="C24" s="21">
        <f>SUM(C5:C23)</f>
        <v/>
      </c>
      <c r="D24" s="21">
        <f>SUM(D5:D23)</f>
        <v/>
      </c>
      <c r="E24" s="21">
        <f>SUM(E5:E23)</f>
        <v/>
      </c>
      <c r="F24" s="21">
        <f>SUM(F5:F23)</f>
        <v/>
      </c>
      <c r="G24" s="22">
        <f>IF(B24=0,"",D24/B24)</f>
        <v/>
      </c>
    </row>
  </sheetData>
  <mergeCells count="1">
    <mergeCell ref="A1:I1"/>
  </mergeCells>
  <dataValidations count="1">
    <dataValidation sqref="H5:H23" showDropDown="0" showInputMessage="0" showErrorMessage="0" allowBlank="0" type="list" errorStyle="stop" operator="between">
      <formula1>"On Track,At Risk,Over Budget,Complete"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4472C4"/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2" min="1" max="1"/>
    <col width="70" customWidth="1" style="12" min="2" max="2"/>
  </cols>
  <sheetData>
    <row r="1" ht="15" customHeight="1" s="13">
      <c r="A1" s="14" t="inlineStr">
        <is>
          <t>HOW TO USE THIS BUDGET vs ACTUAL TRACKER</t>
        </is>
      </c>
    </row>
    <row r="3" ht="15" customHeight="1" s="13">
      <c r="A3" s="23" t="inlineStr">
        <is>
          <t>QUICK START</t>
        </is>
      </c>
    </row>
    <row r="4" ht="15" customHeight="1" s="13">
      <c r="A4" s="23" t="inlineStr">
        <is>
          <t>1. Setup</t>
        </is>
      </c>
      <c r="B4" s="15" t="inlineStr">
        <is>
          <t>Enter project details in Setup.</t>
        </is>
      </c>
    </row>
    <row r="5" ht="15" customHeight="1" s="13">
      <c r="A5" s="23" t="inlineStr">
        <is>
          <t>2. Budget</t>
        </is>
      </c>
      <c r="B5" s="15" t="inlineStr">
        <is>
          <t>Enter budget amounts per trade.</t>
        </is>
      </c>
    </row>
    <row r="6" ht="15" customHeight="1" s="13">
      <c r="A6" s="23" t="inlineStr">
        <is>
          <t>3. Update</t>
        </is>
      </c>
      <c r="B6" s="15" t="inlineStr">
        <is>
          <t>Enter committed and spent amounts as the job progresses.</t>
        </is>
      </c>
    </row>
    <row r="7" ht="15" customHeight="1" s="13">
      <c r="A7" s="23" t="inlineStr">
        <is>
          <t>4. Review</t>
        </is>
      </c>
      <c r="B7" s="15" t="inlineStr">
        <is>
          <t>Remaining, variance, and % used calculate automatically.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2026-02-06T11:16:03Z</dcterms:created>
  <dcterms:modified xmlns:dcterms="http://purl.org/dc/terms/" xmlns:xsi="http://www.w3.org/2001/XMLSchema-instance" xsi:type="dcterms:W3CDTF">2026-10-16T10:45:06Z</dcterms:modified>
  <cp:revision>0</cp:revision>
</cp:coreProperties>
</file>