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Estimate" sheetId="2" state="visible" r:id="rId2"/>
    <sheet xmlns:r="http://schemas.openxmlformats.org/officeDocument/2006/relationships" name="Quote Output" sheetId="3" state="visible" r:id="rId3"/>
    <sheet xmlns:r="http://schemas.openxmlformats.org/officeDocument/2006/relationships" name="Instruction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dd/mm/yyyy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3366"/>
      <sz val="16"/>
    </font>
    <font>
      <name val="Arial"/>
      <charset val="1"/>
      <family val="0"/>
      <b val="1"/>
      <color rgb="FF003366"/>
      <sz val="18"/>
    </font>
    <font>
      <name val="Arial"/>
      <charset val="1"/>
      <family val="0"/>
      <b val="1"/>
      <color rgb="FF003366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3366"/>
      <sz val="10"/>
    </font>
  </fonts>
  <fills count="7">
    <fill>
      <patternFill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FFFBCC"/>
        <bgColor rgb="FFF5F5F5"/>
      </patternFill>
    </fill>
    <fill>
      <patternFill patternType="solid">
        <fgColor rgb="FF4472C4"/>
        <bgColor rgb="FF666666"/>
      </patternFill>
    </fill>
    <fill>
      <patternFill patternType="solid">
        <fgColor rgb="FFE8F5E9"/>
        <bgColor rgb="FFF5F5F5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7" fillId="4" borderId="2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bottom"/>
    </xf>
    <xf numFmtId="164" fontId="7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164" fontId="6" fillId="6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right" vertical="bottom"/>
    </xf>
    <xf numFmtId="0" fontId="4" fillId="2" borderId="1" applyAlignment="1" pivotButton="0" quotePrefix="0" xfId="0">
      <alignment horizontal="general" vertical="bottom"/>
    </xf>
    <xf numFmtId="164" fontId="4" fillId="2" borderId="1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general" vertical="bottom"/>
    </xf>
    <xf numFmtId="0" fontId="0" fillId="0" borderId="5" pivotButton="0" quotePrefix="0" xfId="0"/>
    <xf numFmtId="164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bottom"/>
    </xf>
    <xf numFmtId="0" fontId="7" fillId="4" borderId="2" applyAlignment="1" pivotButton="0" quotePrefix="0" xfId="0">
      <alignment horizontal="general" vertical="bottom"/>
    </xf>
    <xf numFmtId="0" fontId="0" fillId="0" borderId="6" pivotButton="0" quotePrefix="0" xfId="0"/>
    <xf numFmtId="165" fontId="7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bottom"/>
    </xf>
    <xf numFmtId="164" fontId="7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164" fontId="6" fillId="6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right" vertical="bottom"/>
    </xf>
    <xf numFmtId="0" fontId="4" fillId="2" borderId="1" applyAlignment="1" pivotButton="0" quotePrefix="0" xfId="0">
      <alignment horizontal="general" vertical="bottom"/>
    </xf>
    <xf numFmtId="164" fontId="4" fillId="2" borderId="1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6" min="1" max="1"/>
    <col width="32" customWidth="1" style="36" min="2" max="2"/>
    <col width="15" customWidth="1" style="36" min="3" max="3"/>
  </cols>
  <sheetData>
    <row r="1" ht="27.75" customHeight="1" s="37">
      <c r="A1" s="38" t="inlineStr">
        <is>
          <t>BUSINESS SETUP</t>
        </is>
      </c>
    </row>
    <row r="2" ht="15" customHeight="1" s="37">
      <c r="A2" s="39" t="inlineStr">
        <is>
          <t>Enter your details once - they will appear on all estimates and quotes.</t>
        </is>
      </c>
    </row>
    <row r="4" ht="21.75" customHeight="1" s="37">
      <c r="A4" s="40" t="inlineStr">
        <is>
          <t>Business Name:</t>
        </is>
      </c>
      <c r="B4" s="41" t="n"/>
      <c r="C4" s="42" t="n"/>
    </row>
    <row r="5" ht="21.75" customHeight="1" s="37">
      <c r="A5" s="40" t="inlineStr">
        <is>
          <t>ABN:</t>
        </is>
      </c>
      <c r="B5" s="41" t="n"/>
      <c r="C5" s="42" t="n"/>
    </row>
    <row r="6" ht="21.75" customHeight="1" s="37">
      <c r="A6" s="40" t="inlineStr">
        <is>
          <t>Builder Licence:</t>
        </is>
      </c>
      <c r="B6" s="41" t="n"/>
      <c r="C6" s="42" t="n"/>
    </row>
    <row r="7" ht="21.75" customHeight="1" s="37">
      <c r="A7" s="40" t="inlineStr">
        <is>
          <t>Address:</t>
        </is>
      </c>
      <c r="B7" s="41" t="n"/>
      <c r="C7" s="42" t="n"/>
    </row>
    <row r="8" ht="21.75" customHeight="1" s="37">
      <c r="A8" s="40" t="inlineStr">
        <is>
          <t>Phone:</t>
        </is>
      </c>
      <c r="B8" s="41" t="n"/>
      <c r="C8" s="42" t="n"/>
    </row>
    <row r="9" ht="21.75" customHeight="1" s="37">
      <c r="A9" s="40" t="inlineStr">
        <is>
          <t>Email:</t>
        </is>
      </c>
      <c r="B9" s="41" t="n"/>
      <c r="C9" s="42" t="n"/>
    </row>
    <row r="11" ht="27.75" customHeight="1" s="37">
      <c r="A11" s="38" t="inlineStr">
        <is>
          <t>DEFAULT RATES</t>
        </is>
      </c>
    </row>
    <row r="12" ht="15" customHeight="1" s="37">
      <c r="A12" s="39" t="inlineStr">
        <is>
          <t>Set your standard rates here. You can override these on individual estimates.</t>
        </is>
      </c>
    </row>
    <row r="14" ht="21.75" customHeight="1" s="37">
      <c r="A14" s="40" t="inlineStr">
        <is>
          <t>Default Hourly Rate:</t>
        </is>
      </c>
      <c r="B14" s="43" t="n">
        <v>85</v>
      </c>
    </row>
    <row r="15" ht="21.75" customHeight="1" s="37">
      <c r="A15" s="40" t="inlineStr">
        <is>
          <t>Default Daily Rate:</t>
        </is>
      </c>
      <c r="B15" s="43" t="n">
        <v>680</v>
      </c>
    </row>
    <row r="16" ht="21.75" customHeight="1" s="37">
      <c r="A16" s="40" t="inlineStr">
        <is>
          <t>Default Markup on Cost (%):</t>
        </is>
      </c>
      <c r="B16" s="44" t="n">
        <v>0.2</v>
      </c>
    </row>
    <row r="17" ht="21.75" customHeight="1" s="37">
      <c r="A17" s="40" t="inlineStr">
        <is>
          <t>Default Contingency (%):</t>
        </is>
      </c>
      <c r="B17" s="44" t="n">
        <v>0.05</v>
      </c>
    </row>
    <row r="18" ht="21.75" customHeight="1" s="37">
      <c r="A18" s="40" t="inlineStr">
        <is>
          <t>GST Rate:</t>
        </is>
      </c>
      <c r="B18" s="44" t="n">
        <v>0.1</v>
      </c>
    </row>
    <row r="20" ht="27.75" customHeight="1" s="37">
      <c r="A20" s="38" t="inlineStr">
        <is>
          <t>TRADE CATEGORIES</t>
        </is>
      </c>
    </row>
    <row r="21" ht="15" customHeight="1" s="37">
      <c r="A21" s="39" t="inlineStr">
        <is>
          <t>Standard Australian trade categories. Customise as needed.</t>
        </is>
      </c>
    </row>
    <row r="23" ht="15" customHeight="1" s="37">
      <c r="A23" s="45" t="n">
        <v>1</v>
      </c>
      <c r="B23" s="41" t="inlineStr">
        <is>
          <t>Preliminaries &amp; Site Setup</t>
        </is>
      </c>
      <c r="C23" s="42" t="n"/>
    </row>
    <row r="24" ht="15" customHeight="1" s="37">
      <c r="A24" s="45" t="n">
        <v>2</v>
      </c>
      <c r="B24" s="41" t="inlineStr">
        <is>
          <t>Demolition &amp; Site Clearance</t>
        </is>
      </c>
      <c r="C24" s="42" t="n"/>
    </row>
    <row r="25" ht="15" customHeight="1" s="37">
      <c r="A25" s="45" t="n">
        <v>3</v>
      </c>
      <c r="B25" s="41" t="inlineStr">
        <is>
          <t>Earthworks &amp; Excavation</t>
        </is>
      </c>
      <c r="C25" s="42" t="n"/>
    </row>
    <row r="26" ht="15" customHeight="1" s="37">
      <c r="A26" s="45" t="n">
        <v>4</v>
      </c>
      <c r="B26" s="41" t="inlineStr">
        <is>
          <t>Concrete &amp; Footings</t>
        </is>
      </c>
      <c r="C26" s="42" t="n"/>
    </row>
    <row r="27" ht="15" customHeight="1" s="37">
      <c r="A27" s="45" t="n">
        <v>5</v>
      </c>
      <c r="B27" s="41" t="inlineStr">
        <is>
          <t>Structural Steel</t>
        </is>
      </c>
      <c r="C27" s="42" t="n"/>
    </row>
    <row r="28" ht="15" customHeight="1" s="37">
      <c r="A28" s="45" t="n">
        <v>6</v>
      </c>
      <c r="B28" s="41" t="inlineStr">
        <is>
          <t>Framing &amp; Carpentry</t>
        </is>
      </c>
      <c r="C28" s="42" t="n"/>
    </row>
    <row r="29" ht="15" customHeight="1" s="37">
      <c r="A29" s="45" t="n">
        <v>7</v>
      </c>
      <c r="B29" s="41" t="inlineStr">
        <is>
          <t>Roofing &amp; Guttering</t>
        </is>
      </c>
      <c r="C29" s="42" t="n"/>
    </row>
    <row r="30" ht="15" customHeight="1" s="37">
      <c r="A30" s="45" t="n">
        <v>8</v>
      </c>
      <c r="B30" s="41" t="inlineStr">
        <is>
          <t>External Cladding</t>
        </is>
      </c>
      <c r="C30" s="42" t="n"/>
    </row>
    <row r="31" ht="15" customHeight="1" s="37">
      <c r="A31" s="45" t="n">
        <v>9</v>
      </c>
      <c r="B31" s="41" t="inlineStr">
        <is>
          <t>Windows &amp; Glazing</t>
        </is>
      </c>
      <c r="C31" s="42" t="n"/>
    </row>
    <row r="32" ht="15" customHeight="1" s="37">
      <c r="A32" s="45" t="n">
        <v>10</v>
      </c>
      <c r="B32" s="41" t="inlineStr">
        <is>
          <t>External Doors</t>
        </is>
      </c>
      <c r="C32" s="42" t="n"/>
    </row>
    <row r="33" ht="15" customHeight="1" s="37">
      <c r="A33" s="45" t="n">
        <v>11</v>
      </c>
      <c r="B33" s="41" t="inlineStr">
        <is>
          <t>Internal Walls &amp; Linings</t>
        </is>
      </c>
      <c r="C33" s="42" t="n"/>
    </row>
    <row r="34" ht="15" customHeight="1" s="37">
      <c r="A34" s="45" t="n">
        <v>12</v>
      </c>
      <c r="B34" s="41" t="inlineStr">
        <is>
          <t>Internal Doors &amp; Hardware</t>
        </is>
      </c>
      <c r="C34" s="42" t="n"/>
    </row>
    <row r="35" ht="15" customHeight="1" s="37">
      <c r="A35" s="45" t="n">
        <v>13</v>
      </c>
      <c r="B35" s="41" t="inlineStr">
        <is>
          <t>Insulation</t>
        </is>
      </c>
      <c r="C35" s="42" t="n"/>
    </row>
    <row r="36" ht="15" customHeight="1" s="37">
      <c r="A36" s="45" t="n">
        <v>14</v>
      </c>
      <c r="B36" s="41" t="inlineStr">
        <is>
          <t>Electrical</t>
        </is>
      </c>
      <c r="C36" s="42" t="n"/>
    </row>
    <row r="37" ht="15" customHeight="1" s="37">
      <c r="A37" s="45" t="n">
        <v>15</v>
      </c>
      <c r="B37" s="41" t="inlineStr">
        <is>
          <t>Plumbing &amp; Gas</t>
        </is>
      </c>
      <c r="C37" s="42" t="n"/>
    </row>
    <row r="38" ht="15" customHeight="1" s="37">
      <c r="A38" s="45" t="n">
        <v>16</v>
      </c>
      <c r="B38" s="41" t="inlineStr">
        <is>
          <t>HVAC / Air Conditioning</t>
        </is>
      </c>
      <c r="C38" s="42" t="n"/>
    </row>
    <row r="39" ht="15" customHeight="1" s="37">
      <c r="A39" s="45" t="n">
        <v>17</v>
      </c>
      <c r="B39" s="41" t="inlineStr">
        <is>
          <t>Waterproofing</t>
        </is>
      </c>
      <c r="C39" s="42" t="n"/>
    </row>
    <row r="40" ht="15" customHeight="1" s="37">
      <c r="A40" s="45" t="n">
        <v>18</v>
      </c>
      <c r="B40" s="41" t="inlineStr">
        <is>
          <t>Tiling</t>
        </is>
      </c>
      <c r="C40" s="42" t="n"/>
    </row>
    <row r="41" ht="15" customHeight="1" s="37">
      <c r="A41" s="45" t="n">
        <v>19</v>
      </c>
      <c r="B41" s="41" t="inlineStr">
        <is>
          <t>Joinery &amp; Cabinetry</t>
        </is>
      </c>
      <c r="C41" s="42" t="n"/>
    </row>
    <row r="42" ht="15" customHeight="1" s="37">
      <c r="A42" s="45" t="n">
        <v>20</v>
      </c>
      <c r="B42" s="41" t="inlineStr">
        <is>
          <t>Benchtops</t>
        </is>
      </c>
      <c r="C42" s="42" t="n"/>
    </row>
    <row r="43" ht="15" customHeight="1" s="37">
      <c r="A43" s="45" t="n">
        <v>21</v>
      </c>
      <c r="B43" s="41" t="inlineStr">
        <is>
          <t>Painting &amp; Finishes</t>
        </is>
      </c>
      <c r="C43" s="42" t="n"/>
    </row>
    <row r="44" ht="15" customHeight="1" s="37">
      <c r="A44" s="45" t="n">
        <v>22</v>
      </c>
      <c r="B44" s="41" t="inlineStr">
        <is>
          <t>Floor Coverings</t>
        </is>
      </c>
      <c r="C44" s="42" t="n"/>
    </row>
    <row r="45" ht="15" customHeight="1" s="37">
      <c r="A45" s="45" t="n">
        <v>23</v>
      </c>
      <c r="B45" s="41" t="inlineStr">
        <is>
          <t>Landscaping &amp; External</t>
        </is>
      </c>
      <c r="C45" s="42" t="n"/>
    </row>
    <row r="46" ht="15" customHeight="1" s="37">
      <c r="A46" s="45" t="n">
        <v>24</v>
      </c>
      <c r="B46" s="41" t="inlineStr">
        <is>
          <t>Driveways &amp; Paving</t>
        </is>
      </c>
      <c r="C46" s="42" t="n"/>
    </row>
    <row r="47" ht="15" customHeight="1" s="37">
      <c r="A47" s="45" t="n">
        <v>25</v>
      </c>
      <c r="B47" s="41" t="inlineStr">
        <is>
          <t>Fencing &amp; Gates</t>
        </is>
      </c>
      <c r="C47" s="42" t="n"/>
    </row>
    <row r="48" ht="15" customHeight="1" s="37">
      <c r="A48" s="45" t="n">
        <v>26</v>
      </c>
      <c r="B48" s="41" t="inlineStr">
        <is>
          <t>Cleaning &amp; Handover</t>
        </is>
      </c>
      <c r="C48" s="42" t="n"/>
    </row>
    <row r="49" ht="15" customHeight="1" s="37">
      <c r="A49" s="45" t="n">
        <v>27</v>
      </c>
      <c r="B49" s="41" t="inlineStr">
        <is>
          <t>Other</t>
        </is>
      </c>
      <c r="C49" s="42" t="n"/>
    </row>
  </sheetData>
  <mergeCells count="39">
    <mergeCell ref="B47:C47"/>
    <mergeCell ref="B7:C7"/>
    <mergeCell ref="B25:C25"/>
    <mergeCell ref="B46:C46"/>
    <mergeCell ref="A21:C21"/>
    <mergeCell ref="B31:C31"/>
    <mergeCell ref="B27:C27"/>
    <mergeCell ref="A12:C12"/>
    <mergeCell ref="A2:C2"/>
    <mergeCell ref="B43:C43"/>
    <mergeCell ref="B39:C39"/>
    <mergeCell ref="B48:C48"/>
    <mergeCell ref="B42:C42"/>
    <mergeCell ref="B23:C23"/>
    <mergeCell ref="B8:C8"/>
    <mergeCell ref="A20:C20"/>
    <mergeCell ref="B38:C38"/>
    <mergeCell ref="B44:C44"/>
    <mergeCell ref="B29:C29"/>
    <mergeCell ref="B34:C34"/>
    <mergeCell ref="B37:C37"/>
    <mergeCell ref="B28:C28"/>
    <mergeCell ref="B40:C40"/>
    <mergeCell ref="B9:C9"/>
    <mergeCell ref="B49:C49"/>
    <mergeCell ref="B6:C6"/>
    <mergeCell ref="B24:C24"/>
    <mergeCell ref="B30:C30"/>
    <mergeCell ref="A11:C11"/>
    <mergeCell ref="B33:C33"/>
    <mergeCell ref="A1:C1"/>
    <mergeCell ref="B5:C5"/>
    <mergeCell ref="B45:C45"/>
    <mergeCell ref="B36:C36"/>
    <mergeCell ref="B32:C32"/>
    <mergeCell ref="B26:C26"/>
    <mergeCell ref="B41:C41"/>
    <mergeCell ref="B35:C35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32" customWidth="1" style="36" min="2" max="2"/>
    <col width="10" customWidth="1" style="36" min="3" max="4"/>
    <col width="15" customWidth="1" style="36" min="5" max="6"/>
    <col width="22" customWidth="1" style="36" min="7" max="7"/>
    <col width="5" customWidth="1" style="36" min="8" max="8"/>
  </cols>
  <sheetData>
    <row r="1" ht="34.5" customHeight="1" s="37">
      <c r="A1" s="46" t="inlineStr">
        <is>
          <t>PROJECT ESTIMATE</t>
        </is>
      </c>
    </row>
    <row r="3" ht="15" customHeight="1" s="37">
      <c r="A3" s="47" t="inlineStr">
        <is>
          <t>Project Name:</t>
        </is>
      </c>
      <c r="B3" s="48" t="n"/>
      <c r="C3" s="49" t="n"/>
      <c r="D3" s="49" t="n"/>
      <c r="F3" s="47" t="inlineStr">
        <is>
          <t>Date:</t>
        </is>
      </c>
      <c r="G3" s="50" t="n"/>
    </row>
    <row r="4" ht="15" customHeight="1" s="37">
      <c r="A4" s="47" t="inlineStr">
        <is>
          <t>Project Address:</t>
        </is>
      </c>
      <c r="B4" s="48" t="n"/>
      <c r="C4" s="49" t="n"/>
      <c r="D4" s="49" t="n"/>
      <c r="F4" s="47" t="inlineStr">
        <is>
          <t>Estimate No:</t>
        </is>
      </c>
      <c r="G4" s="41" t="n"/>
    </row>
    <row r="5" ht="15" customHeight="1" s="37">
      <c r="A5" s="47" t="inlineStr">
        <is>
          <t>Client Name:</t>
        </is>
      </c>
      <c r="B5" s="48" t="n"/>
      <c r="C5" s="49" t="n"/>
      <c r="D5" s="49" t="n"/>
      <c r="F5" s="47" t="inlineStr">
        <is>
          <t>Version:</t>
        </is>
      </c>
      <c r="G5" s="41" t="inlineStr">
        <is>
          <t>1.0</t>
        </is>
      </c>
    </row>
    <row r="7" ht="25.5" customHeight="1" s="37">
      <c r="A7" s="38" t="inlineStr">
        <is>
          <t>LABOUR</t>
        </is>
      </c>
    </row>
    <row r="8" ht="15" customHeight="1" s="37">
      <c r="A8" s="51" t="inlineStr">
        <is>
          <t>Trade/Task</t>
        </is>
      </c>
      <c r="B8" s="51" t="inlineStr">
        <is>
          <t>Description</t>
        </is>
      </c>
      <c r="C8" s="51" t="inlineStr">
        <is>
          <t>Qty</t>
        </is>
      </c>
      <c r="D8" s="51" t="inlineStr">
        <is>
          <t>Unit</t>
        </is>
      </c>
      <c r="E8" s="51" t="inlineStr">
        <is>
          <t>Rate ($)</t>
        </is>
      </c>
      <c r="F8" s="51" t="inlineStr">
        <is>
          <t>Amount ($)</t>
        </is>
      </c>
      <c r="G8" s="51" t="inlineStr">
        <is>
          <t>Notes</t>
        </is>
      </c>
    </row>
    <row r="9" ht="15" customHeight="1" s="37">
      <c r="A9" s="41" t="n"/>
      <c r="B9" s="41" t="n"/>
      <c r="C9" s="52" t="n"/>
      <c r="D9" s="52" t="n"/>
      <c r="E9" s="43">
        <f>Setup!B14</f>
        <v/>
      </c>
      <c r="F9" s="53">
        <f>IF(OR(C9="",E9=""),"",C9*E9)</f>
        <v/>
      </c>
      <c r="G9" s="41" t="n"/>
    </row>
    <row r="10" ht="15" customHeight="1" s="37">
      <c r="A10" s="41" t="n"/>
      <c r="B10" s="41" t="n"/>
      <c r="C10" s="52" t="n"/>
      <c r="D10" s="52" t="n"/>
      <c r="E10" s="43">
        <f>Setup!B14</f>
        <v/>
      </c>
      <c r="F10" s="53">
        <f>IF(OR(C10="",E10=""),"",C10*E10)</f>
        <v/>
      </c>
      <c r="G10" s="41" t="n"/>
    </row>
    <row r="11" ht="15" customHeight="1" s="37">
      <c r="A11" s="41" t="n"/>
      <c r="B11" s="41" t="n"/>
      <c r="C11" s="52" t="n"/>
      <c r="D11" s="52" t="n"/>
      <c r="E11" s="43">
        <f>Setup!B14</f>
        <v/>
      </c>
      <c r="F11" s="53">
        <f>IF(OR(C11="",E11=""),"",C11*E11)</f>
        <v/>
      </c>
      <c r="G11" s="41" t="n"/>
    </row>
    <row r="12" ht="15" customHeight="1" s="37">
      <c r="A12" s="41" t="n"/>
      <c r="B12" s="41" t="n"/>
      <c r="C12" s="52" t="n"/>
      <c r="D12" s="52" t="n"/>
      <c r="E12" s="43">
        <f>Setup!B14</f>
        <v/>
      </c>
      <c r="F12" s="53">
        <f>IF(OR(C12="",E12=""),"",C12*E12)</f>
        <v/>
      </c>
      <c r="G12" s="41" t="n"/>
    </row>
    <row r="13" ht="15" customHeight="1" s="37">
      <c r="A13" s="41" t="n"/>
      <c r="B13" s="41" t="n"/>
      <c r="C13" s="52" t="n"/>
      <c r="D13" s="52" t="n"/>
      <c r="E13" s="43">
        <f>Setup!B14</f>
        <v/>
      </c>
      <c r="F13" s="53">
        <f>IF(OR(C13="",E13=""),"",C13*E13)</f>
        <v/>
      </c>
      <c r="G13" s="41" t="n"/>
    </row>
    <row r="14" ht="15" customHeight="1" s="37">
      <c r="A14" s="41" t="n"/>
      <c r="B14" s="41" t="n"/>
      <c r="C14" s="52" t="n"/>
      <c r="D14" s="52" t="n"/>
      <c r="E14" s="43">
        <f>Setup!B14</f>
        <v/>
      </c>
      <c r="F14" s="53">
        <f>IF(OR(C14="",E14=""),"",C14*E14)</f>
        <v/>
      </c>
      <c r="G14" s="41" t="n"/>
    </row>
    <row r="15" ht="15" customHeight="1" s="37">
      <c r="A15" s="41" t="n"/>
      <c r="B15" s="41" t="n"/>
      <c r="C15" s="52" t="n"/>
      <c r="D15" s="52" t="n"/>
      <c r="E15" s="43">
        <f>Setup!B14</f>
        <v/>
      </c>
      <c r="F15" s="53">
        <f>IF(OR(C15="",E15=""),"",C15*E15)</f>
        <v/>
      </c>
      <c r="G15" s="41" t="n"/>
    </row>
    <row r="16" ht="15" customHeight="1" s="37">
      <c r="A16" s="41" t="n"/>
      <c r="B16" s="41" t="n"/>
      <c r="C16" s="52" t="n"/>
      <c r="D16" s="52" t="n"/>
      <c r="E16" s="43">
        <f>Setup!B14</f>
        <v/>
      </c>
      <c r="F16" s="53">
        <f>IF(OR(C16="",E16=""),"",C16*E16)</f>
        <v/>
      </c>
      <c r="G16" s="41" t="n"/>
    </row>
    <row r="17" ht="15" customHeight="1" s="37">
      <c r="A17" s="41" t="n"/>
      <c r="B17" s="41" t="n"/>
      <c r="C17" s="52" t="n"/>
      <c r="D17" s="52" t="n"/>
      <c r="E17" s="43">
        <f>Setup!B14</f>
        <v/>
      </c>
      <c r="F17" s="53">
        <f>IF(OR(C17="",E17=""),"",C17*E17)</f>
        <v/>
      </c>
      <c r="G17" s="41" t="n"/>
    </row>
    <row r="18" ht="15" customHeight="1" s="37">
      <c r="A18" s="41" t="n"/>
      <c r="B18" s="41" t="n"/>
      <c r="C18" s="52" t="n"/>
      <c r="D18" s="52" t="n"/>
      <c r="E18" s="43">
        <f>Setup!B14</f>
        <v/>
      </c>
      <c r="F18" s="53">
        <f>IF(OR(C18="",E18=""),"",C18*E18)</f>
        <v/>
      </c>
      <c r="G18" s="41" t="n"/>
    </row>
    <row r="19" ht="15" customHeight="1" s="37">
      <c r="A19" s="41" t="n"/>
      <c r="B19" s="41" t="n"/>
      <c r="C19" s="52" t="n"/>
      <c r="D19" s="52" t="n"/>
      <c r="E19" s="43">
        <f>Setup!B14</f>
        <v/>
      </c>
      <c r="F19" s="53">
        <f>IF(OR(C19="",E19=""),"",C19*E19)</f>
        <v/>
      </c>
      <c r="G19" s="41" t="n"/>
    </row>
    <row r="20" ht="15" customHeight="1" s="37">
      <c r="A20" s="41" t="n"/>
      <c r="B20" s="41" t="n"/>
      <c r="C20" s="52" t="n"/>
      <c r="D20" s="52" t="n"/>
      <c r="E20" s="43">
        <f>Setup!B14</f>
        <v/>
      </c>
      <c r="F20" s="53">
        <f>IF(OR(C20="",E20=""),"",C20*E20)</f>
        <v/>
      </c>
      <c r="G20" s="41" t="n"/>
    </row>
    <row r="21" ht="15" customHeight="1" s="37">
      <c r="A21" s="41" t="n"/>
      <c r="B21" s="41" t="n"/>
      <c r="C21" s="52" t="n"/>
      <c r="D21" s="52" t="n"/>
      <c r="E21" s="43">
        <f>Setup!B14</f>
        <v/>
      </c>
      <c r="F21" s="53">
        <f>IF(OR(C21="",E21=""),"",C21*E21)</f>
        <v/>
      </c>
      <c r="G21" s="41" t="n"/>
    </row>
    <row r="22" ht="15" customHeight="1" s="37">
      <c r="A22" s="41" t="n"/>
      <c r="B22" s="41" t="n"/>
      <c r="C22" s="52" t="n"/>
      <c r="D22" s="52" t="n"/>
      <c r="E22" s="43">
        <f>Setup!B14</f>
        <v/>
      </c>
      <c r="F22" s="53">
        <f>IF(OR(C22="",E22=""),"",C22*E22)</f>
        <v/>
      </c>
      <c r="G22" s="41" t="n"/>
    </row>
    <row r="23" ht="15" customHeight="1" s="37">
      <c r="A23" s="41" t="n"/>
      <c r="B23" s="41" t="n"/>
      <c r="C23" s="52" t="n"/>
      <c r="D23" s="52" t="n"/>
      <c r="E23" s="43">
        <f>Setup!B14</f>
        <v/>
      </c>
      <c r="F23" s="53">
        <f>IF(OR(C23="",E23=""),"",C23*E23)</f>
        <v/>
      </c>
      <c r="G23" s="41" t="n"/>
    </row>
    <row r="24" ht="15" customHeight="1" s="37">
      <c r="A24" s="41" t="n"/>
      <c r="B24" s="41" t="n"/>
      <c r="C24" s="52" t="n"/>
      <c r="D24" s="52" t="n"/>
      <c r="E24" s="43">
        <f>Setup!B14</f>
        <v/>
      </c>
      <c r="F24" s="53">
        <f>IF(OR(C24="",E24=""),"",C24*E24)</f>
        <v/>
      </c>
      <c r="G24" s="41" t="n"/>
    </row>
    <row r="25" ht="15" customHeight="1" s="37">
      <c r="A25" s="41" t="n"/>
      <c r="B25" s="41" t="n"/>
      <c r="C25" s="52" t="n"/>
      <c r="D25" s="52" t="n"/>
      <c r="E25" s="43">
        <f>Setup!B14</f>
        <v/>
      </c>
      <c r="F25" s="53">
        <f>IF(OR(C25="",E25=""),"",C25*E25)</f>
        <v/>
      </c>
      <c r="G25" s="41" t="n"/>
    </row>
    <row r="26" ht="15" customHeight="1" s="37">
      <c r="A26" s="41" t="n"/>
      <c r="B26" s="41" t="n"/>
      <c r="C26" s="52" t="n"/>
      <c r="D26" s="52" t="n"/>
      <c r="E26" s="43">
        <f>Setup!B14</f>
        <v/>
      </c>
      <c r="F26" s="53">
        <f>IF(OR(C26="",E26=""),"",C26*E26)</f>
        <v/>
      </c>
      <c r="G26" s="41" t="n"/>
    </row>
    <row r="27" ht="15" customHeight="1" s="37">
      <c r="A27" s="41" t="n"/>
      <c r="B27" s="41" t="n"/>
      <c r="C27" s="52" t="n"/>
      <c r="D27" s="52" t="n"/>
      <c r="E27" s="43">
        <f>Setup!B14</f>
        <v/>
      </c>
      <c r="F27" s="53">
        <f>IF(OR(C27="",E27=""),"",C27*E27)</f>
        <v/>
      </c>
      <c r="G27" s="41" t="n"/>
    </row>
    <row r="28" ht="15" customHeight="1" s="37">
      <c r="A28" s="41" t="n"/>
      <c r="B28" s="41" t="n"/>
      <c r="C28" s="52" t="n"/>
      <c r="D28" s="52" t="n"/>
      <c r="E28" s="43">
        <f>Setup!B14</f>
        <v/>
      </c>
      <c r="F28" s="53">
        <f>IF(OR(C28="",E28=""),"",C28*E28)</f>
        <v/>
      </c>
      <c r="G28" s="41" t="n"/>
    </row>
    <row r="29" ht="15" customHeight="1" s="37">
      <c r="E29" s="54" t="inlineStr">
        <is>
          <t>LABOUR SUBTOTAL:</t>
        </is>
      </c>
      <c r="F29" s="53">
        <f>SUM(F9:F28)</f>
        <v/>
      </c>
    </row>
    <row r="31" ht="25.5" customHeight="1" s="37">
      <c r="A31" s="38" t="inlineStr">
        <is>
          <t>MATERIALS</t>
        </is>
      </c>
    </row>
    <row r="32" ht="15" customHeight="1" s="37">
      <c r="A32" s="51" t="inlineStr">
        <is>
          <t>Item</t>
        </is>
      </c>
      <c r="B32" s="51" t="inlineStr">
        <is>
          <t>Description</t>
        </is>
      </c>
      <c r="C32" s="51" t="inlineStr">
        <is>
          <t>Qty</t>
        </is>
      </c>
      <c r="D32" s="51" t="inlineStr">
        <is>
          <t>Unit</t>
        </is>
      </c>
      <c r="E32" s="51" t="inlineStr">
        <is>
          <t>Unit Cost ($)</t>
        </is>
      </c>
      <c r="F32" s="51" t="inlineStr">
        <is>
          <t>Amount ($)</t>
        </is>
      </c>
      <c r="G32" s="51" t="inlineStr">
        <is>
          <t>Supplier</t>
        </is>
      </c>
    </row>
    <row r="33" ht="15" customHeight="1" s="37">
      <c r="A33" s="41" t="n"/>
      <c r="B33" s="41" t="n"/>
      <c r="C33" s="52" t="n"/>
      <c r="D33" s="52" t="n"/>
      <c r="E33" s="43" t="n"/>
      <c r="F33" s="53">
        <f>IF(OR(C33="",E33=""),"",C33*E33)</f>
        <v/>
      </c>
      <c r="G33" s="41" t="n"/>
    </row>
    <row r="34" ht="15" customHeight="1" s="37">
      <c r="A34" s="41" t="n"/>
      <c r="B34" s="41" t="n"/>
      <c r="C34" s="52" t="n"/>
      <c r="D34" s="52" t="n"/>
      <c r="E34" s="43" t="n"/>
      <c r="F34" s="53">
        <f>IF(OR(C34="",E34=""),"",C34*E34)</f>
        <v/>
      </c>
      <c r="G34" s="41" t="n"/>
    </row>
    <row r="35" ht="15" customHeight="1" s="37">
      <c r="A35" s="41" t="n"/>
      <c r="B35" s="41" t="n"/>
      <c r="C35" s="52" t="n"/>
      <c r="D35" s="52" t="n"/>
      <c r="E35" s="43" t="n"/>
      <c r="F35" s="53">
        <f>IF(OR(C35="",E35=""),"",C35*E35)</f>
        <v/>
      </c>
      <c r="G35" s="41" t="n"/>
    </row>
    <row r="36" ht="15" customHeight="1" s="37">
      <c r="A36" s="41" t="n"/>
      <c r="B36" s="41" t="n"/>
      <c r="C36" s="52" t="n"/>
      <c r="D36" s="52" t="n"/>
      <c r="E36" s="43" t="n"/>
      <c r="F36" s="53">
        <f>IF(OR(C36="",E36=""),"",C36*E36)</f>
        <v/>
      </c>
      <c r="G36" s="41" t="n"/>
    </row>
    <row r="37" ht="15" customHeight="1" s="37">
      <c r="A37" s="41" t="n"/>
      <c r="B37" s="41" t="n"/>
      <c r="C37" s="52" t="n"/>
      <c r="D37" s="52" t="n"/>
      <c r="E37" s="43" t="n"/>
      <c r="F37" s="53">
        <f>IF(OR(C37="",E37=""),"",C37*E37)</f>
        <v/>
      </c>
      <c r="G37" s="41" t="n"/>
    </row>
    <row r="38" ht="15" customHeight="1" s="37">
      <c r="A38" s="41" t="n"/>
      <c r="B38" s="41" t="n"/>
      <c r="C38" s="52" t="n"/>
      <c r="D38" s="52" t="n"/>
      <c r="E38" s="43" t="n"/>
      <c r="F38" s="53">
        <f>IF(OR(C38="",E38=""),"",C38*E38)</f>
        <v/>
      </c>
      <c r="G38" s="41" t="n"/>
    </row>
    <row r="39" ht="15" customHeight="1" s="37">
      <c r="A39" s="41" t="n"/>
      <c r="B39" s="41" t="n"/>
      <c r="C39" s="52" t="n"/>
      <c r="D39" s="52" t="n"/>
      <c r="E39" s="43" t="n"/>
      <c r="F39" s="53">
        <f>IF(OR(C39="",E39=""),"",C39*E39)</f>
        <v/>
      </c>
      <c r="G39" s="41" t="n"/>
    </row>
    <row r="40" ht="15" customHeight="1" s="37">
      <c r="A40" s="41" t="n"/>
      <c r="B40" s="41" t="n"/>
      <c r="C40" s="52" t="n"/>
      <c r="D40" s="52" t="n"/>
      <c r="E40" s="43" t="n"/>
      <c r="F40" s="53">
        <f>IF(OR(C40="",E40=""),"",C40*E40)</f>
        <v/>
      </c>
      <c r="G40" s="41" t="n"/>
    </row>
    <row r="41" ht="15" customHeight="1" s="37">
      <c r="A41" s="41" t="n"/>
      <c r="B41" s="41" t="n"/>
      <c r="C41" s="52" t="n"/>
      <c r="D41" s="52" t="n"/>
      <c r="E41" s="43" t="n"/>
      <c r="F41" s="53">
        <f>IF(OR(C41="",E41=""),"",C41*E41)</f>
        <v/>
      </c>
      <c r="G41" s="41" t="n"/>
    </row>
    <row r="42" ht="15" customHeight="1" s="37">
      <c r="A42" s="41" t="n"/>
      <c r="B42" s="41" t="n"/>
      <c r="C42" s="52" t="n"/>
      <c r="D42" s="52" t="n"/>
      <c r="E42" s="43" t="n"/>
      <c r="F42" s="53">
        <f>IF(OR(C42="",E42=""),"",C42*E42)</f>
        <v/>
      </c>
      <c r="G42" s="41" t="n"/>
    </row>
    <row r="43" ht="15" customHeight="1" s="37">
      <c r="A43" s="41" t="n"/>
      <c r="B43" s="41" t="n"/>
      <c r="C43" s="52" t="n"/>
      <c r="D43" s="52" t="n"/>
      <c r="E43" s="43" t="n"/>
      <c r="F43" s="53">
        <f>IF(OR(C43="",E43=""),"",C43*E43)</f>
        <v/>
      </c>
      <c r="G43" s="41" t="n"/>
    </row>
    <row r="44" ht="15" customHeight="1" s="37">
      <c r="A44" s="41" t="n"/>
      <c r="B44" s="41" t="n"/>
      <c r="C44" s="52" t="n"/>
      <c r="D44" s="52" t="n"/>
      <c r="E44" s="43" t="n"/>
      <c r="F44" s="53">
        <f>IF(OR(C44="",E44=""),"",C44*E44)</f>
        <v/>
      </c>
      <c r="G44" s="41" t="n"/>
    </row>
    <row r="45" ht="15" customHeight="1" s="37">
      <c r="A45" s="41" t="n"/>
      <c r="B45" s="41" t="n"/>
      <c r="C45" s="52" t="n"/>
      <c r="D45" s="52" t="n"/>
      <c r="E45" s="43" t="n"/>
      <c r="F45" s="53">
        <f>IF(OR(C45="",E45=""),"",C45*E45)</f>
        <v/>
      </c>
      <c r="G45" s="41" t="n"/>
    </row>
    <row r="46" ht="15" customHeight="1" s="37">
      <c r="A46" s="41" t="n"/>
      <c r="B46" s="41" t="n"/>
      <c r="C46" s="52" t="n"/>
      <c r="D46" s="52" t="n"/>
      <c r="E46" s="43" t="n"/>
      <c r="F46" s="53">
        <f>IF(OR(C46="",E46=""),"",C46*E46)</f>
        <v/>
      </c>
      <c r="G46" s="41" t="n"/>
    </row>
    <row r="47" ht="15" customHeight="1" s="37">
      <c r="A47" s="41" t="n"/>
      <c r="B47" s="41" t="n"/>
      <c r="C47" s="52" t="n"/>
      <c r="D47" s="52" t="n"/>
      <c r="E47" s="43" t="n"/>
      <c r="F47" s="53">
        <f>IF(OR(C47="",E47=""),"",C47*E47)</f>
        <v/>
      </c>
      <c r="G47" s="41" t="n"/>
    </row>
    <row r="48" ht="15" customHeight="1" s="37">
      <c r="A48" s="41" t="n"/>
      <c r="B48" s="41" t="n"/>
      <c r="C48" s="52" t="n"/>
      <c r="D48" s="52" t="n"/>
      <c r="E48" s="43" t="n"/>
      <c r="F48" s="53">
        <f>IF(OR(C48="",E48=""),"",C48*E48)</f>
        <v/>
      </c>
      <c r="G48" s="41" t="n"/>
    </row>
    <row r="49" ht="15" customHeight="1" s="37">
      <c r="A49" s="41" t="n"/>
      <c r="B49" s="41" t="n"/>
      <c r="C49" s="52" t="n"/>
      <c r="D49" s="52" t="n"/>
      <c r="E49" s="43" t="n"/>
      <c r="F49" s="53">
        <f>IF(OR(C49="",E49=""),"",C49*E49)</f>
        <v/>
      </c>
      <c r="G49" s="41" t="n"/>
    </row>
    <row r="50" ht="15" customHeight="1" s="37">
      <c r="A50" s="41" t="n"/>
      <c r="B50" s="41" t="n"/>
      <c r="C50" s="52" t="n"/>
      <c r="D50" s="52" t="n"/>
      <c r="E50" s="43" t="n"/>
      <c r="F50" s="53">
        <f>IF(OR(C50="",E50=""),"",C50*E50)</f>
        <v/>
      </c>
      <c r="G50" s="41" t="n"/>
    </row>
    <row r="51" ht="15" customHeight="1" s="37">
      <c r="A51" s="41" t="n"/>
      <c r="B51" s="41" t="n"/>
      <c r="C51" s="52" t="n"/>
      <c r="D51" s="52" t="n"/>
      <c r="E51" s="43" t="n"/>
      <c r="F51" s="53">
        <f>IF(OR(C51="",E51=""),"",C51*E51)</f>
        <v/>
      </c>
      <c r="G51" s="41" t="n"/>
    </row>
    <row r="52" ht="15" customHeight="1" s="37">
      <c r="A52" s="41" t="n"/>
      <c r="B52" s="41" t="n"/>
      <c r="C52" s="52" t="n"/>
      <c r="D52" s="52" t="n"/>
      <c r="E52" s="43" t="n"/>
      <c r="F52" s="53">
        <f>IF(OR(C52="",E52=""),"",C52*E52)</f>
        <v/>
      </c>
      <c r="G52" s="41" t="n"/>
    </row>
    <row r="53" ht="15" customHeight="1" s="37">
      <c r="A53" s="41" t="n"/>
      <c r="B53" s="41" t="n"/>
      <c r="C53" s="52" t="n"/>
      <c r="D53" s="52" t="n"/>
      <c r="E53" s="43" t="n"/>
      <c r="F53" s="53">
        <f>IF(OR(C53="",E53=""),"",C53*E53)</f>
        <v/>
      </c>
      <c r="G53" s="41" t="n"/>
    </row>
    <row r="54" ht="15" customHeight="1" s="37">
      <c r="A54" s="41" t="n"/>
      <c r="B54" s="41" t="n"/>
      <c r="C54" s="52" t="n"/>
      <c r="D54" s="52" t="n"/>
      <c r="E54" s="43" t="n"/>
      <c r="F54" s="53">
        <f>IF(OR(C54="",E54=""),"",C54*E54)</f>
        <v/>
      </c>
      <c r="G54" s="41" t="n"/>
    </row>
    <row r="55" ht="15" customHeight="1" s="37">
      <c r="A55" s="41" t="n"/>
      <c r="B55" s="41" t="n"/>
      <c r="C55" s="52" t="n"/>
      <c r="D55" s="52" t="n"/>
      <c r="E55" s="43" t="n"/>
      <c r="F55" s="53">
        <f>IF(OR(C55="",E55=""),"",C55*E55)</f>
        <v/>
      </c>
      <c r="G55" s="41" t="n"/>
    </row>
    <row r="56" ht="15" customHeight="1" s="37">
      <c r="A56" s="41" t="n"/>
      <c r="B56" s="41" t="n"/>
      <c r="C56" s="52" t="n"/>
      <c r="D56" s="52" t="n"/>
      <c r="E56" s="43" t="n"/>
      <c r="F56" s="53">
        <f>IF(OR(C56="",E56=""),"",C56*E56)</f>
        <v/>
      </c>
      <c r="G56" s="41" t="n"/>
    </row>
    <row r="57" ht="15" customHeight="1" s="37">
      <c r="A57" s="41" t="n"/>
      <c r="B57" s="41" t="n"/>
      <c r="C57" s="52" t="n"/>
      <c r="D57" s="52" t="n"/>
      <c r="E57" s="43" t="n"/>
      <c r="F57" s="53">
        <f>IF(OR(C57="",E57=""),"",C57*E57)</f>
        <v/>
      </c>
      <c r="G57" s="41" t="n"/>
    </row>
    <row r="58" ht="15" customHeight="1" s="37">
      <c r="E58" s="54" t="inlineStr">
        <is>
          <t>MATERIALS SUBTOTAL:</t>
        </is>
      </c>
      <c r="F58" s="53">
        <f>SUM(F33:F57)</f>
        <v/>
      </c>
    </row>
    <row r="60" ht="25.5" customHeight="1" s="37">
      <c r="A60" s="38" t="inlineStr">
        <is>
          <t>SUBCONTRACTORS</t>
        </is>
      </c>
    </row>
    <row r="61" ht="15" customHeight="1" s="37">
      <c r="A61" s="51" t="inlineStr">
        <is>
          <t>Trade</t>
        </is>
      </c>
      <c r="B61" s="51" t="inlineStr">
        <is>
          <t>Subcontractor</t>
        </is>
      </c>
      <c r="C61" s="51" t="inlineStr">
        <is>
          <t>Quote Ref</t>
        </is>
      </c>
      <c r="D61" s="51" t="inlineStr">
        <is>
          <t>Quote Date</t>
        </is>
      </c>
      <c r="E61" s="51" t="inlineStr">
        <is>
          <t>Amount ($)</t>
        </is>
      </c>
      <c r="F61" s="51" t="inlineStr">
        <is>
          <t>Status</t>
        </is>
      </c>
      <c r="G61" s="51" t="inlineStr">
        <is>
          <t>Notes</t>
        </is>
      </c>
    </row>
    <row r="62" ht="15" customHeight="1" s="37">
      <c r="A62" s="41" t="n"/>
      <c r="B62" s="41" t="n"/>
      <c r="C62" s="41" t="n"/>
      <c r="D62" s="50" t="n"/>
      <c r="E62" s="43" t="n"/>
      <c r="F62" s="41" t="n"/>
      <c r="G62" s="41" t="n"/>
    </row>
    <row r="63" ht="15" customHeight="1" s="37">
      <c r="A63" s="41" t="n"/>
      <c r="B63" s="41" t="n"/>
      <c r="C63" s="41" t="n"/>
      <c r="D63" s="50" t="n"/>
      <c r="E63" s="43" t="n"/>
      <c r="F63" s="41" t="n"/>
      <c r="G63" s="41" t="n"/>
    </row>
    <row r="64" ht="15" customHeight="1" s="37">
      <c r="A64" s="41" t="n"/>
      <c r="B64" s="41" t="n"/>
      <c r="C64" s="41" t="n"/>
      <c r="D64" s="50" t="n"/>
      <c r="E64" s="43" t="n"/>
      <c r="F64" s="41" t="n"/>
      <c r="G64" s="41" t="n"/>
    </row>
    <row r="65" ht="15" customHeight="1" s="37">
      <c r="A65" s="41" t="n"/>
      <c r="B65" s="41" t="n"/>
      <c r="C65" s="41" t="n"/>
      <c r="D65" s="50" t="n"/>
      <c r="E65" s="43" t="n"/>
      <c r="F65" s="41" t="n"/>
      <c r="G65" s="41" t="n"/>
    </row>
    <row r="66" ht="15" customHeight="1" s="37">
      <c r="A66" s="41" t="n"/>
      <c r="B66" s="41" t="n"/>
      <c r="C66" s="41" t="n"/>
      <c r="D66" s="50" t="n"/>
      <c r="E66" s="43" t="n"/>
      <c r="F66" s="41" t="n"/>
      <c r="G66" s="41" t="n"/>
    </row>
    <row r="67" ht="15" customHeight="1" s="37">
      <c r="A67" s="41" t="n"/>
      <c r="B67" s="41" t="n"/>
      <c r="C67" s="41" t="n"/>
      <c r="D67" s="50" t="n"/>
      <c r="E67" s="43" t="n"/>
      <c r="F67" s="41" t="n"/>
      <c r="G67" s="41" t="n"/>
    </row>
    <row r="68" ht="15" customHeight="1" s="37">
      <c r="A68" s="41" t="n"/>
      <c r="B68" s="41" t="n"/>
      <c r="C68" s="41" t="n"/>
      <c r="D68" s="50" t="n"/>
      <c r="E68" s="43" t="n"/>
      <c r="F68" s="41" t="n"/>
      <c r="G68" s="41" t="n"/>
    </row>
    <row r="69" ht="15" customHeight="1" s="37">
      <c r="A69" s="41" t="n"/>
      <c r="B69" s="41" t="n"/>
      <c r="C69" s="41" t="n"/>
      <c r="D69" s="50" t="n"/>
      <c r="E69" s="43" t="n"/>
      <c r="F69" s="41" t="n"/>
      <c r="G69" s="41" t="n"/>
    </row>
    <row r="70" ht="15" customHeight="1" s="37">
      <c r="A70" s="41" t="n"/>
      <c r="B70" s="41" t="n"/>
      <c r="C70" s="41" t="n"/>
      <c r="D70" s="50" t="n"/>
      <c r="E70" s="43" t="n"/>
      <c r="F70" s="41" t="n"/>
      <c r="G70" s="41" t="n"/>
    </row>
    <row r="71" ht="15" customHeight="1" s="37">
      <c r="A71" s="41" t="n"/>
      <c r="B71" s="41" t="n"/>
      <c r="C71" s="41" t="n"/>
      <c r="D71" s="50" t="n"/>
      <c r="E71" s="43" t="n"/>
      <c r="F71" s="41" t="n"/>
      <c r="G71" s="41" t="n"/>
    </row>
    <row r="72" ht="15" customHeight="1" s="37">
      <c r="A72" s="41" t="n"/>
      <c r="B72" s="41" t="n"/>
      <c r="C72" s="41" t="n"/>
      <c r="D72" s="50" t="n"/>
      <c r="E72" s="43" t="n"/>
      <c r="F72" s="41" t="n"/>
      <c r="G72" s="41" t="n"/>
    </row>
    <row r="73" ht="15" customHeight="1" s="37">
      <c r="A73" s="41" t="n"/>
      <c r="B73" s="41" t="n"/>
      <c r="C73" s="41" t="n"/>
      <c r="D73" s="50" t="n"/>
      <c r="E73" s="43" t="n"/>
      <c r="F73" s="41" t="n"/>
      <c r="G73" s="41" t="n"/>
    </row>
    <row r="74" ht="15" customHeight="1" s="37">
      <c r="A74" s="41" t="n"/>
      <c r="B74" s="41" t="n"/>
      <c r="C74" s="41" t="n"/>
      <c r="D74" s="50" t="n"/>
      <c r="E74" s="43" t="n"/>
      <c r="F74" s="41" t="n"/>
      <c r="G74" s="41" t="n"/>
    </row>
    <row r="75" ht="15" customHeight="1" s="37">
      <c r="A75" s="41" t="n"/>
      <c r="B75" s="41" t="n"/>
      <c r="C75" s="41" t="n"/>
      <c r="D75" s="50" t="n"/>
      <c r="E75" s="43" t="n"/>
      <c r="F75" s="41" t="n"/>
      <c r="G75" s="41" t="n"/>
    </row>
    <row r="76" ht="15" customHeight="1" s="37">
      <c r="A76" s="41" t="n"/>
      <c r="B76" s="41" t="n"/>
      <c r="C76" s="41" t="n"/>
      <c r="D76" s="50" t="n"/>
      <c r="E76" s="43" t="n"/>
      <c r="F76" s="41" t="n"/>
      <c r="G76" s="41" t="n"/>
    </row>
    <row r="77" ht="15" customHeight="1" s="37">
      <c r="D77" s="54" t="inlineStr">
        <is>
          <t>SUBCONTRACTORS SUBTOTAL:</t>
        </is>
      </c>
      <c r="E77" s="53">
        <f>SUM(E62:E76)</f>
        <v/>
      </c>
    </row>
    <row r="79" ht="25.5" customHeight="1" s="37">
      <c r="A79" s="38" t="inlineStr">
        <is>
          <t>ESTIMATE SUMMARY</t>
        </is>
      </c>
    </row>
    <row r="81" ht="15" customHeight="1" s="37">
      <c r="E81" s="40" t="inlineStr">
        <is>
          <t>Labour Total:</t>
        </is>
      </c>
      <c r="F81" s="53">
        <f>F29</f>
        <v/>
      </c>
    </row>
    <row r="82" ht="15" customHeight="1" s="37">
      <c r="E82" s="40" t="inlineStr">
        <is>
          <t>Materials Total:</t>
        </is>
      </c>
      <c r="F82" s="53">
        <f>F58</f>
        <v/>
      </c>
    </row>
    <row r="83" ht="15" customHeight="1" s="37">
      <c r="E83" s="40" t="inlineStr">
        <is>
          <t>Subcontractors Total:</t>
        </is>
      </c>
      <c r="F83" s="53">
        <f>E77</f>
        <v/>
      </c>
    </row>
    <row r="85" ht="15" customHeight="1" s="37">
      <c r="E85" s="40" t="inlineStr">
        <is>
          <t>DIRECT COSTS SUBTOTAL:</t>
        </is>
      </c>
      <c r="F85" s="55">
        <f>F81+F82+F83</f>
        <v/>
      </c>
    </row>
    <row r="87" ht="15" customHeight="1" s="37">
      <c r="E87" s="40" t="inlineStr">
        <is>
          <t>Contingency:</t>
        </is>
      </c>
      <c r="F87" s="53">
        <f>F85*Setup!B17</f>
        <v/>
      </c>
    </row>
    <row r="89" ht="15" customHeight="1" s="37">
      <c r="E89" s="40" t="inlineStr">
        <is>
          <t>TOTAL COST (excl. margin):</t>
        </is>
      </c>
      <c r="F89" s="55">
        <f>F85+F87</f>
        <v/>
      </c>
    </row>
    <row r="91" ht="15" customHeight="1" s="37">
      <c r="E91" s="40" t="inlineStr">
        <is>
          <t>Markup:</t>
        </is>
      </c>
      <c r="F91" s="53">
        <f>F89*Setup!B16</f>
        <v/>
      </c>
    </row>
    <row r="93" ht="15" customHeight="1" s="37">
      <c r="E93" s="40" t="inlineStr">
        <is>
          <t>SUBTOTAL (excl. GST):</t>
        </is>
      </c>
      <c r="F93" s="55">
        <f>F89+F91</f>
        <v/>
      </c>
    </row>
    <row r="94" ht="15" customHeight="1" s="37">
      <c r="E94" s="40" t="inlineStr">
        <is>
          <t>GST:</t>
        </is>
      </c>
      <c r="F94" s="53">
        <f>F93*Setup!B18</f>
        <v/>
      </c>
    </row>
    <row r="96" ht="31.5" customHeight="1" s="37">
      <c r="E96" s="56" t="inlineStr">
        <is>
          <t>TOTAL QUOTE (incl. GST):</t>
        </is>
      </c>
      <c r="F96" s="57">
        <f>F93+F94</f>
        <v/>
      </c>
    </row>
  </sheetData>
  <mergeCells count="8">
    <mergeCell ref="B3:D3"/>
    <mergeCell ref="B5:D5"/>
    <mergeCell ref="A7:H7"/>
    <mergeCell ref="B4:D4"/>
    <mergeCell ref="A60:H60"/>
    <mergeCell ref="A1:H1"/>
    <mergeCell ref="A79:H79"/>
    <mergeCell ref="A31:H31"/>
  </mergeCells>
  <dataValidations count="2">
    <dataValidation sqref="D9:D28 D33:D57" showDropDown="0" showInputMessage="0" showErrorMessage="0" allowBlank="1" type="list" errorStyle="stop" operator="between">
      <formula1>"hrs,days,ea,m,m2,m3,lm,kg,t,lot,allow"</formula1>
      <formula2>0</formula2>
    </dataValidation>
    <dataValidation sqref="F62:F76" showDropDown="0" showInputMessage="0" showErrorMessage="0" allowBlank="1" type="list" errorStyle="stop" operator="between">
      <formula1>"Pending,Received,Accepted,Declined"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6" min="1" max="1"/>
    <col width="15" customWidth="1" style="36" min="2" max="4"/>
    <col width="18" customWidth="1" style="36" min="5" max="5"/>
  </cols>
  <sheetData>
    <row r="1" ht="19.7" customHeight="1" s="37">
      <c r="A1" s="58">
        <f>Setup!B4</f>
        <v/>
      </c>
    </row>
    <row r="2" ht="15" customHeight="1" s="37">
      <c r="A2" s="59">
        <f>IF(Setup!B5="","","ABN: "&amp;Setup!B5)</f>
        <v/>
      </c>
    </row>
    <row r="3" ht="15" customHeight="1" s="37">
      <c r="A3" s="59">
        <f>IF(Setup!B6="","","Licence: "&amp;Setup!B6)</f>
        <v/>
      </c>
    </row>
    <row r="4" ht="15" customHeight="1" s="37">
      <c r="A4" s="59">
        <f>Setup!B7</f>
        <v/>
      </c>
    </row>
    <row r="5" ht="15" customHeight="1" s="37">
      <c r="A5" s="59">
        <f>IF(Setup!B8="","","Ph: "&amp;Setup!B8&amp;"  |  "&amp;Setup!B9)</f>
        <v/>
      </c>
    </row>
    <row r="7" ht="22.05" customHeight="1" s="37">
      <c r="A7" s="60" t="inlineStr">
        <is>
          <t>QUOTATION</t>
        </is>
      </c>
    </row>
    <row r="9" ht="15" customHeight="1" s="37">
      <c r="A9" s="61" t="inlineStr">
        <is>
          <t>Quote To:</t>
        </is>
      </c>
      <c r="B9" s="59">
        <f>Estimate!B5</f>
        <v/>
      </c>
      <c r="D9" s="61" t="inlineStr">
        <is>
          <t>Quote No:</t>
        </is>
      </c>
      <c r="E9" s="59">
        <f>Estimate!G4</f>
        <v/>
      </c>
    </row>
    <row r="10" ht="15" customHeight="1" s="37">
      <c r="A10" s="61" t="inlineStr">
        <is>
          <t>Project:</t>
        </is>
      </c>
      <c r="B10" s="59">
        <f>Estimate!B3</f>
        <v/>
      </c>
      <c r="D10" s="61" t="inlineStr">
        <is>
          <t>Date:</t>
        </is>
      </c>
      <c r="E10" s="62">
        <f>Estimate!G3</f>
        <v/>
      </c>
    </row>
    <row r="11" ht="15" customHeight="1" s="37">
      <c r="A11" s="61" t="inlineStr">
        <is>
          <t>Address:</t>
        </is>
      </c>
      <c r="B11" s="59">
        <f>Estimate!B4</f>
        <v/>
      </c>
      <c r="D11" s="61" t="inlineStr">
        <is>
          <t>Valid For:</t>
        </is>
      </c>
      <c r="E11" s="59" t="inlineStr">
        <is>
          <t>30 days</t>
        </is>
      </c>
    </row>
    <row r="13" ht="15" customHeight="1" s="37">
      <c r="A13" s="63" t="inlineStr">
        <is>
          <t>QUOTE SUMMARY</t>
        </is>
      </c>
    </row>
    <row r="14" ht="15" customHeight="1" s="37">
      <c r="A14" s="47" t="inlineStr">
        <is>
          <t>Description</t>
        </is>
      </c>
      <c r="B14" s="47" t="n"/>
      <c r="C14" s="47" t="n"/>
      <c r="D14" s="47" t="n"/>
      <c r="E14" s="47" t="inlineStr">
        <is>
          <t>Amount</t>
        </is>
      </c>
    </row>
    <row r="15" ht="15" customHeight="1" s="37">
      <c r="A15" s="64" t="inlineStr">
        <is>
          <t>Labour</t>
        </is>
      </c>
      <c r="B15" s="49" t="n"/>
      <c r="C15" s="49" t="n"/>
      <c r="D15" s="42" t="n"/>
      <c r="E15" s="65">
        <f>Estimate!F29*(1+Setup!B16)</f>
        <v/>
      </c>
    </row>
    <row r="16" ht="15" customHeight="1" s="37">
      <c r="A16" s="64" t="inlineStr">
        <is>
          <t>Materials</t>
        </is>
      </c>
      <c r="B16" s="49" t="n"/>
      <c r="C16" s="49" t="n"/>
      <c r="D16" s="42" t="n"/>
      <c r="E16" s="65">
        <f>Estimate!F58*(1+Setup!B16)</f>
        <v/>
      </c>
    </row>
    <row r="17" ht="15" customHeight="1" s="37">
      <c r="A17" s="64" t="inlineStr">
        <is>
          <t>Subcontract Works</t>
        </is>
      </c>
      <c r="B17" s="49" t="n"/>
      <c r="C17" s="49" t="n"/>
      <c r="D17" s="42" t="n"/>
      <c r="E17" s="65">
        <f>Estimate!E77*(1+Setup!B16)</f>
        <v/>
      </c>
    </row>
    <row r="18" ht="15" customHeight="1" s="37">
      <c r="A18" s="64" t="inlineStr">
        <is>
          <t>Contingency Allowance</t>
        </is>
      </c>
      <c r="B18" s="49" t="n"/>
      <c r="C18" s="49" t="n"/>
      <c r="D18" s="42" t="n"/>
      <c r="E18" s="65">
        <f>Estimate!F87*(1+Setup!B16)</f>
        <v/>
      </c>
    </row>
    <row r="20" ht="15" customHeight="1" s="37">
      <c r="A20" s="66" t="inlineStr">
        <is>
          <t>Subtotal (excl. GST)</t>
        </is>
      </c>
      <c r="B20" s="49" t="n"/>
      <c r="C20" s="49" t="n"/>
      <c r="D20" s="42" t="n"/>
      <c r="E20" s="67">
        <f>Estimate!F93</f>
        <v/>
      </c>
    </row>
    <row r="21" ht="15" customHeight="1" s="37">
      <c r="A21" s="66" t="inlineStr">
        <is>
          <t>GST (10%)</t>
        </is>
      </c>
      <c r="B21" s="49" t="n"/>
      <c r="C21" s="49" t="n"/>
      <c r="D21" s="42" t="n"/>
      <c r="E21" s="67">
        <f>Estimate!F94</f>
        <v/>
      </c>
    </row>
    <row r="22" ht="27.75" customHeight="1" s="37">
      <c r="A22" s="68" t="inlineStr">
        <is>
          <t>TOTAL (incl. GST)</t>
        </is>
      </c>
      <c r="B22" s="49" t="n"/>
      <c r="C22" s="49" t="n"/>
      <c r="D22" s="42" t="n"/>
      <c r="E22" s="69">
        <f>Estimate!F96</f>
        <v/>
      </c>
    </row>
    <row r="24" ht="15" customHeight="1" s="37">
      <c r="A24" s="70" t="inlineStr">
        <is>
          <t>TERMS &amp; CONDITIONS</t>
        </is>
      </c>
    </row>
    <row r="25" ht="15" customHeight="1" s="37">
      <c r="A25" s="71" t="inlineStr">
        <is>
          <t>1. This quote is valid for 30 days from the date shown above.</t>
        </is>
      </c>
    </row>
    <row r="26" ht="15" customHeight="1" s="37">
      <c r="A26" s="71" t="inlineStr">
        <is>
          <t>2. Payment terms: As per contract or 50% deposit, balance on completion.</t>
        </is>
      </c>
    </row>
    <row r="27" ht="15" customHeight="1" s="37">
      <c r="A27" s="71" t="inlineStr">
        <is>
          <t>3. This quote is based on the scope discussed and excludes variations.</t>
        </is>
      </c>
    </row>
    <row r="28" ht="15" customHeight="1" s="37">
      <c r="A28" s="71" t="inlineStr">
        <is>
          <t>4. Variations to scope will be quoted separately before work commences.</t>
        </is>
      </c>
    </row>
    <row r="29" ht="15" customHeight="1" s="37">
      <c r="A29" s="71" t="inlineStr">
        <is>
          <t>5. Work carried out per Australian Standards and BCA requirements.</t>
        </is>
      </c>
    </row>
    <row r="32" ht="15" customHeight="1" s="37">
      <c r="A32" s="70" t="inlineStr">
        <is>
          <t>ACCEPTANCE</t>
        </is>
      </c>
    </row>
    <row r="34" ht="15" customHeight="1" s="37">
      <c r="A34" s="59" t="inlineStr">
        <is>
          <t>I/We accept this quotation and authorise the work to proceed.</t>
        </is>
      </c>
    </row>
    <row r="36" ht="15" customHeight="1" s="37">
      <c r="A36" s="59" t="inlineStr">
        <is>
          <t>Client Signature: _______________________________     Date: _______________</t>
        </is>
      </c>
    </row>
  </sheetData>
  <mergeCells count="16">
    <mergeCell ref="A17:D17"/>
    <mergeCell ref="A18:D18"/>
    <mergeCell ref="A34:E34"/>
    <mergeCell ref="A29:E29"/>
    <mergeCell ref="A26:E26"/>
    <mergeCell ref="A22:D22"/>
    <mergeCell ref="A7:E7"/>
    <mergeCell ref="A25:E25"/>
    <mergeCell ref="A20:D20"/>
    <mergeCell ref="A21:D21"/>
    <mergeCell ref="A28:E28"/>
    <mergeCell ref="A15:D15"/>
    <mergeCell ref="A1:E1"/>
    <mergeCell ref="A16:D16"/>
    <mergeCell ref="A13:E13"/>
    <mergeCell ref="A27:E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6" min="1" max="1"/>
    <col width="75" customWidth="1" style="36" min="2" max="2"/>
  </cols>
  <sheetData>
    <row r="1" ht="31.5" customHeight="1" s="37">
      <c r="A1" s="72" t="inlineStr">
        <is>
          <t>HOW TO USE THIS ESTIMATE WORKBOOK</t>
        </is>
      </c>
    </row>
    <row r="3" ht="15" customHeight="1" s="37">
      <c r="A3" s="73" t="inlineStr">
        <is>
          <t>QUICK START</t>
        </is>
      </c>
    </row>
    <row r="4" ht="15" customHeight="1" s="37">
      <c r="A4" s="73" t="inlineStr">
        <is>
          <t>1. Setup</t>
        </is>
      </c>
      <c r="B4" s="59" t="inlineStr">
        <is>
          <t>Enter your business details and default rates in the Setup sheet.</t>
        </is>
      </c>
    </row>
    <row r="5" ht="15" customHeight="1" s="37">
      <c r="A5" s="73" t="inlineStr">
        <is>
          <t>2. Project Info</t>
        </is>
      </c>
      <c r="B5" s="59" t="inlineStr">
        <is>
          <t>Fill in project name, address, client, date and estimate number.</t>
        </is>
      </c>
    </row>
    <row r="6" ht="15" customHeight="1" s="37">
      <c r="A6" s="73" t="inlineStr">
        <is>
          <t>3. Labour</t>
        </is>
      </c>
      <c r="B6" s="59" t="inlineStr">
        <is>
          <t>Enter tasks with quantity, unit (hrs/days), and rate. Amount auto-calculates.</t>
        </is>
      </c>
    </row>
    <row r="7" ht="15" customHeight="1" s="37">
      <c r="A7" s="73" t="inlineStr">
        <is>
          <t>4. Materials</t>
        </is>
      </c>
      <c r="B7" s="59" t="inlineStr">
        <is>
          <t>Enter items with quantity, unit, and unit cost. Amount auto-calculates.</t>
        </is>
      </c>
    </row>
    <row r="8" ht="15" customHeight="1" s="37">
      <c r="A8" s="73" t="inlineStr">
        <is>
          <t>5. Subbies</t>
        </is>
      </c>
      <c r="B8" s="59" t="inlineStr">
        <is>
          <t>Enter subcontractor quotes with trade, name, and amount.</t>
        </is>
      </c>
    </row>
    <row r="9" ht="15" customHeight="1" s="37">
      <c r="A9" s="73" t="inlineStr">
        <is>
          <t>6. Review</t>
        </is>
      </c>
      <c r="B9" s="59" t="inlineStr">
        <is>
          <t>Check the Summary section. Contingency and margin use your Setup rates.</t>
        </is>
      </c>
    </row>
    <row r="10" ht="15" customHeight="1" s="37">
      <c r="A10" s="73" t="inlineStr">
        <is>
          <t>7. Quote</t>
        </is>
      </c>
      <c r="B10" s="59" t="inlineStr">
        <is>
          <t>The Quote Output sheet shows a client-ready version with margin hidden.</t>
        </is>
      </c>
    </row>
    <row r="12" ht="15" customHeight="1" s="37">
      <c r="A12" s="73" t="inlineStr">
        <is>
          <t>CELL COLOURS</t>
        </is>
      </c>
    </row>
    <row r="13" ht="15" customHeight="1" s="37">
      <c r="A13" s="73" t="inlineStr">
        <is>
          <t>Yellow</t>
        </is>
      </c>
      <c r="B13" s="59" t="inlineStr">
        <is>
          <t>Input cells - enter your data here</t>
        </is>
      </c>
    </row>
    <row r="14" ht="15" customHeight="1" s="37">
      <c r="A14" s="73" t="inlineStr">
        <is>
          <t>Green</t>
        </is>
      </c>
      <c r="B14" s="59" t="inlineStr">
        <is>
          <t>Calculated fields - do not edit (formulas will break)</t>
        </is>
      </c>
    </row>
    <row r="15" ht="15" customHeight="1" s="37">
      <c r="A15" s="73" t="inlineStr">
        <is>
          <t>Grey</t>
        </is>
      </c>
      <c r="B15" s="59" t="inlineStr">
        <is>
          <t>Labels - do not edit</t>
        </is>
      </c>
    </row>
    <row r="17" ht="15" customHeight="1" s="37">
      <c r="A17" s="73" t="inlineStr">
        <is>
          <t>UNITS</t>
        </is>
      </c>
      <c r="B17" s="59" t="inlineStr">
        <is>
          <t>hrs=hours, days=days, ea=each, m=metres, m2=square metres, m3=cubic metres</t>
        </is>
      </c>
    </row>
    <row r="18" ht="15" customHeight="1" s="37">
      <c r="B18" s="59" t="inlineStr">
        <is>
          <t>lm=lineal metres, kg=kilograms, t=tonnes, lot=job lot, allow=allowance</t>
        </is>
      </c>
    </row>
    <row r="20" ht="15" customHeight="1" s="37">
      <c r="A20" s="73" t="inlineStr">
        <is>
          <t>TIPS</t>
        </is>
      </c>
    </row>
    <row r="21" ht="15" customHeight="1" s="37">
      <c r="B21" s="59" t="inlineStr">
        <is>
          <t>- Save a copy for each new estimate (File &gt; Save As)</t>
        </is>
      </c>
    </row>
    <row r="22" ht="15" customHeight="1" s="37">
      <c r="B22" s="59" t="inlineStr">
        <is>
          <t>- The Quote Output hides your margin from clients</t>
        </is>
      </c>
    </row>
    <row r="23" ht="15" customHeight="1" s="37">
      <c r="B23" s="59" t="inlineStr">
        <is>
          <t>- Adjust contingency and margin % in Setup sheet</t>
        </is>
      </c>
    </row>
    <row r="24" ht="15" customHeight="1" s="37">
      <c r="B24" s="59" t="inlineStr">
        <is>
          <t>- Labour rate defaults from Setup but can be overridden per row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2026-01-26T08:16:42Z</dcterms:created>
  <dcterms:modified xmlns:dcterms="http://purl.org/dc/terms/" xmlns:xsi="http://www.w3.org/2001/XMLSchema-instance" xsi:type="dcterms:W3CDTF">2026-10-16T10:27:30Z</dcterms:modified>
  <cp:revision>0</cp:revision>
</cp:coreProperties>
</file>