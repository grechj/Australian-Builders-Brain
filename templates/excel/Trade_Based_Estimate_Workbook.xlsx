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tup" sheetId="1" state="visible" r:id="rId3"/>
    <sheet name="Estimate" sheetId="2" state="visible" r:id="rId4"/>
    <sheet name="Quote Output" sheetId="3" state="visible" r:id="rId5"/>
    <sheet name="Instruction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<sst xmlns="http://schemas.openxmlformats.org/spreadsheetml/2006/main" count="148" uniqueCount="139">
  <si>
    <t xml:space="preserve">BUSINESS SETUP</t>
  </si>
  <si>
    <t xml:space="preserve">Enter your details once - they will appear on all estimates and quotes.</t>
  </si>
  <si>
    <t xml:space="preserve">Business Name:</t>
  </si>
  <si>
    <t xml:space="preserve">ABN:</t>
  </si>
  <si>
    <t xml:space="preserve">Builder Licence:</t>
  </si>
  <si>
    <t xml:space="preserve">Address:</t>
  </si>
  <si>
    <t xml:space="preserve">Phone:</t>
  </si>
  <si>
    <t xml:space="preserve">Email:</t>
  </si>
  <si>
    <t xml:space="preserve">DEFAULT RATES</t>
  </si>
  <si>
    <t xml:space="preserve">Set your standard rates here. You can override these on individual estimates.</t>
  </si>
  <si>
    <t xml:space="preserve">Default Hourly Rate:</t>
  </si>
  <si>
    <t xml:space="preserve">Default Daily Rate:</t>
  </si>
  <si>
    <t xml:space="preserve">Default Margin (%):</t>
  </si>
  <si>
    <t xml:space="preserve">Default Contingency (%):</t>
  </si>
  <si>
    <t xml:space="preserve">GST Rate:</t>
  </si>
  <si>
    <t xml:space="preserve">TRADE CATEGORIES</t>
  </si>
  <si>
    <t xml:space="preserve">Standard Australian trade categories. Customise as needed.</t>
  </si>
  <si>
    <t xml:space="preserve">Preliminaries &amp; Site Setup</t>
  </si>
  <si>
    <t xml:space="preserve">Demolition &amp; Site Clearance</t>
  </si>
  <si>
    <t xml:space="preserve">Earthworks &amp; Excavation</t>
  </si>
  <si>
    <t xml:space="preserve">Concrete &amp; Footings</t>
  </si>
  <si>
    <t xml:space="preserve">Structural Steel</t>
  </si>
  <si>
    <t xml:space="preserve">Framing &amp; Carpentry</t>
  </si>
  <si>
    <t xml:space="preserve">Roofing &amp; Guttering</t>
  </si>
  <si>
    <t xml:space="preserve">External Cladding</t>
  </si>
  <si>
    <t xml:space="preserve">Windows &amp; Glazing</t>
  </si>
  <si>
    <t xml:space="preserve">External Doors</t>
  </si>
  <si>
    <t xml:space="preserve">Internal Walls &amp; Linings</t>
  </si>
  <si>
    <t xml:space="preserve">Internal Doors &amp; Hardware</t>
  </si>
  <si>
    <t xml:space="preserve">Insulation</t>
  </si>
  <si>
    <t xml:space="preserve">Electrical</t>
  </si>
  <si>
    <t xml:space="preserve">Plumbing &amp; Gas</t>
  </si>
  <si>
    <t xml:space="preserve">HVAC / Air Conditioning</t>
  </si>
  <si>
    <t xml:space="preserve">Waterproofing</t>
  </si>
  <si>
    <t xml:space="preserve">Tiling</t>
  </si>
  <si>
    <t xml:space="preserve">Joinery &amp; Cabinetry</t>
  </si>
  <si>
    <t xml:space="preserve">Benchtops</t>
  </si>
  <si>
    <t xml:space="preserve">Painting &amp; Finishes</t>
  </si>
  <si>
    <t xml:space="preserve">Floor Coverings</t>
  </si>
  <si>
    <t xml:space="preserve">Landscaping &amp; External</t>
  </si>
  <si>
    <t xml:space="preserve">Driveways &amp; Paving</t>
  </si>
  <si>
    <t xml:space="preserve">Fencing &amp; Gates</t>
  </si>
  <si>
    <t xml:space="preserve">Cleaning &amp; Handover</t>
  </si>
  <si>
    <t xml:space="preserve">Other</t>
  </si>
  <si>
    <t xml:space="preserve">PROJECT ESTIMATE</t>
  </si>
  <si>
    <t xml:space="preserve">Project Name:</t>
  </si>
  <si>
    <t xml:space="preserve">Date:</t>
  </si>
  <si>
    <t xml:space="preserve">Project Address:</t>
  </si>
  <si>
    <t xml:space="preserve">Estimate No:</t>
  </si>
  <si>
    <t xml:space="preserve">Client Name:</t>
  </si>
  <si>
    <t xml:space="preserve">Version:</t>
  </si>
  <si>
    <t xml:space="preserve">1.0</t>
  </si>
  <si>
    <t xml:space="preserve">LABOUR</t>
  </si>
  <si>
    <t xml:space="preserve">Trade/Task</t>
  </si>
  <si>
    <t xml:space="preserve">Description</t>
  </si>
  <si>
    <t xml:space="preserve">Qty</t>
  </si>
  <si>
    <t xml:space="preserve">Unit</t>
  </si>
  <si>
    <t xml:space="preserve">Rate ($)</t>
  </si>
  <si>
    <t xml:space="preserve">Amount ($)</t>
  </si>
  <si>
    <t xml:space="preserve">Notes</t>
  </si>
  <si>
    <t xml:space="preserve">LABOUR SUBTOTAL:</t>
  </si>
  <si>
    <t xml:space="preserve">MATERIALS</t>
  </si>
  <si>
    <t xml:space="preserve">Item</t>
  </si>
  <si>
    <t xml:space="preserve">Unit Cost ($)</t>
  </si>
  <si>
    <t xml:space="preserve">Supplier</t>
  </si>
  <si>
    <t xml:space="preserve">MATERIALS SUBTOTAL:</t>
  </si>
  <si>
    <t xml:space="preserve">SUBCONTRACTORS</t>
  </si>
  <si>
    <t xml:space="preserve">Trade</t>
  </si>
  <si>
    <t xml:space="preserve">Subcontractor</t>
  </si>
  <si>
    <t xml:space="preserve">Quote Ref</t>
  </si>
  <si>
    <t xml:space="preserve">Quote Date</t>
  </si>
  <si>
    <t xml:space="preserve">Status</t>
  </si>
  <si>
    <t xml:space="preserve">SUBCONTRACTORS SUBTOTAL:</t>
  </si>
  <si>
    <t xml:space="preserve">ESTIMATE SUMMARY</t>
  </si>
  <si>
    <t xml:space="preserve">Labour Total:</t>
  </si>
  <si>
    <t xml:space="preserve">Materials Total:</t>
  </si>
  <si>
    <t xml:space="preserve">Subcontractors Total:</t>
  </si>
  <si>
    <t xml:space="preserve">DIRECT COSTS SUBTOTAL:</t>
  </si>
  <si>
    <t xml:space="preserve">Contingency:</t>
  </si>
  <si>
    <t xml:space="preserve">TOTAL COST (excl. margin):</t>
  </si>
  <si>
    <t xml:space="preserve">Margin:</t>
  </si>
  <si>
    <t xml:space="preserve">SUBTOTAL (excl. GST):</t>
  </si>
  <si>
    <t xml:space="preserve">GST:</t>
  </si>
  <si>
    <t xml:space="preserve">TOTAL QUOTE (incl. GST):</t>
  </si>
  <si>
    <t xml:space="preserve">QUOTATION</t>
  </si>
  <si>
    <t xml:space="preserve">Quote To:</t>
  </si>
  <si>
    <t xml:space="preserve">Quote No:</t>
  </si>
  <si>
    <t xml:space="preserve">Project:</t>
  </si>
  <si>
    <t xml:space="preserve">Valid For:</t>
  </si>
  <si>
    <t xml:space="preserve">30 days</t>
  </si>
  <si>
    <t xml:space="preserve">QUOTE SUMMARY</t>
  </si>
  <si>
    <t xml:space="preserve">Amount</t>
  </si>
  <si>
    <t xml:space="preserve">Labour</t>
  </si>
  <si>
    <t xml:space="preserve">Materials</t>
  </si>
  <si>
    <t xml:space="preserve">Subcontract Works</t>
  </si>
  <si>
    <t xml:space="preserve">Contingency Allowance</t>
  </si>
  <si>
    <t xml:space="preserve">Subtotal (excl. GST)</t>
  </si>
  <si>
    <t xml:space="preserve">GST (10%)</t>
  </si>
  <si>
    <t xml:space="preserve">TOTAL (incl. GST)</t>
  </si>
  <si>
    <t xml:space="preserve">TERMS &amp; CONDITIONS</t>
  </si>
  <si>
    <t xml:space="preserve">1. This quote is valid for 30 days from the date shown above.</t>
  </si>
  <si>
    <t xml:space="preserve">2. Payment terms: As per contract or 50% deposit, balance on completion.</t>
  </si>
  <si>
    <t xml:space="preserve">3. This quote is based on the scope discussed and excludes variations.</t>
  </si>
  <si>
    <t xml:space="preserve">4. Variations to scope will be quoted separately before work commences.</t>
  </si>
  <si>
    <t xml:space="preserve">5. Work carried out per Australian Standards and BCA requirements.</t>
  </si>
  <si>
    <t xml:space="preserve">ACCEPTANCE</t>
  </si>
  <si>
    <t xml:space="preserve">I/We accept this quotation and authorise the work to proceed.</t>
  </si>
  <si>
    <t xml:space="preserve">Client Signature: _______________________________     Date: _______________</t>
  </si>
  <si>
    <t xml:space="preserve">HOW TO USE THIS ESTIMATE WORKBOOK</t>
  </si>
  <si>
    <t xml:space="preserve">QUICK START</t>
  </si>
  <si>
    <t xml:space="preserve">1. Setup</t>
  </si>
  <si>
    <t xml:space="preserve">Enter your business details and default rates in the Setup sheet.</t>
  </si>
  <si>
    <t xml:space="preserve">2. Project Info</t>
  </si>
  <si>
    <t xml:space="preserve">Fill in project name, address, client, date and estimate number.</t>
  </si>
  <si>
    <t xml:space="preserve">3. Labour</t>
  </si>
  <si>
    <t xml:space="preserve">Enter tasks with quantity, unit (hrs/days), and rate. Amount auto-calculates.</t>
  </si>
  <si>
    <t xml:space="preserve">4. Materials</t>
  </si>
  <si>
    <t xml:space="preserve">Enter items with quantity, unit, and unit cost. Amount auto-calculates.</t>
  </si>
  <si>
    <t xml:space="preserve">5. Subbies</t>
  </si>
  <si>
    <t xml:space="preserve">Enter subcontractor quotes with trade, name, and amount.</t>
  </si>
  <si>
    <t xml:space="preserve">6. Review</t>
  </si>
  <si>
    <t xml:space="preserve">Check the Summary section. Contingency and margin use your Setup rates.</t>
  </si>
  <si>
    <t xml:space="preserve">7. Quote</t>
  </si>
  <si>
    <t xml:space="preserve">The Quote Output sheet shows a client-ready version with margin hidden.</t>
  </si>
  <si>
    <t xml:space="preserve">CELL COLOURS</t>
  </si>
  <si>
    <t xml:space="preserve">Yellow</t>
  </si>
  <si>
    <t xml:space="preserve">Input cells - enter your data here</t>
  </si>
  <si>
    <t xml:space="preserve">Green</t>
  </si>
  <si>
    <t xml:space="preserve">Calculated fields - do not edit (formulas will break)</t>
  </si>
  <si>
    <t xml:space="preserve">Grey</t>
  </si>
  <si>
    <t xml:space="preserve">Labels - do not edit</t>
  </si>
  <si>
    <t xml:space="preserve">UNITS</t>
  </si>
  <si>
    <t xml:space="preserve">hrs=hours, days=days, ea=each, m=metres, m2=square metres, m3=cubic metres</t>
  </si>
  <si>
    <t xml:space="preserve">lm=lineal metres, kg=kilograms, t=tonnes, lot=job lot, allow=allowance</t>
  </si>
  <si>
    <t xml:space="preserve">TIPS</t>
  </si>
  <si>
    <t xml:space="preserve">- Save a copy for each new estimate (File &gt; Save As)</t>
  </si>
  <si>
    <t xml:space="preserve">- The Quote Output hides your margin from clients</t>
  </si>
  <si>
    <t xml:space="preserve">- Adjust contingency and margin % in Setup sheet</t>
  </si>
  <si>
    <t xml:space="preserve">- Labour rate defaults from Setup but can be overridden per row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</si>
</sst>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.00"/>
    <numFmt numFmtId="166" formatCode="0%"/>
    <numFmt numFmtId="167" formatCode="dd/mm/yyyy"/>
    <numFmt numFmtId="168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6"/>
      <color rgb="FF003366"/>
      <name val="Arial"/>
      <family val="0"/>
      <charset val="1"/>
    </font>
    <font>
      <b val="true"/>
      <sz val="18"/>
      <color rgb="FF003366"/>
      <name val="Arial"/>
      <family val="0"/>
      <charset val="1"/>
    </font>
    <font>
      <b val="true"/>
      <sz val="11"/>
      <color rgb="FF003366"/>
      <name val="Arial"/>
      <family val="0"/>
      <charset val="1"/>
    </font>
    <font>
      <sz val="9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0"/>
      <color rgb="FF003366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3366"/>
        <bgColor rgb="FF333399"/>
      </patternFill>
    </fill>
    <fill>
      <patternFill patternType="solid">
        <fgColor rgb="FFF5F5F5"/>
        <bgColor rgb="FFE8F5E9"/>
      </patternFill>
    </fill>
    <fill>
      <patternFill patternType="solid">
        <fgColor rgb="FFFFFBCC"/>
        <bgColor rgb="FFF5F5F5"/>
      </patternFill>
    </fill>
    <fill>
      <patternFill patternType="solid">
        <fgColor rgb="FF4472C4"/>
        <bgColor rgb="FF666666"/>
      </patternFill>
    </fill>
    <fill>
      <patternFill patternType="solid">
        <fgColor rgb="FFE8F5E9"/>
        <bgColor rgb="FFF5F5F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CCCCCC"/>
      </left>
      <right/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BCC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2"/>
    <col collapsed="false" customWidth="true" hidden="false" outlineLevel="0" max="3" min="3" style="0" width="15"/>
  </cols>
  <sheetData>
    <row r="1" customFormat="false" ht="27.75" hidden="false" customHeight="true" outlineLevel="0" collapsed="false">
      <c r="A1" s="1" t="s">
        <v>0</v>
      </c>
      <c r="B1" s="1"/>
      <c r="C1" s="1"/>
    </row>
    <row r="2" customFormat="false" ht="15" hidden="false" customHeight="false" outlineLevel="0" collapsed="false">
      <c r="A2" s="2" t="s">
        <v>1</v>
      </c>
      <c r="B2" s="2"/>
      <c r="C2" s="2"/>
    </row>
    <row r="4" customFormat="false" ht="21.75" hidden="false" customHeight="true" outlineLevel="0" collapsed="false">
      <c r="A4" s="3" t="s">
        <v>2</v>
      </c>
      <c r="B4" s="4"/>
      <c r="C4" s="4"/>
    </row>
    <row r="5" customFormat="false" ht="21.75" hidden="false" customHeight="true" outlineLevel="0" collapsed="false">
      <c r="A5" s="3" t="s">
        <v>3</v>
      </c>
      <c r="B5" s="4"/>
      <c r="C5" s="4"/>
    </row>
    <row r="6" customFormat="false" ht="21.75" hidden="false" customHeight="true" outlineLevel="0" collapsed="false">
      <c r="A6" s="3" t="s">
        <v>4</v>
      </c>
      <c r="B6" s="4"/>
      <c r="C6" s="4"/>
    </row>
    <row r="7" customFormat="false" ht="21.75" hidden="false" customHeight="true" outlineLevel="0" collapsed="false">
      <c r="A7" s="3" t="s">
        <v>5</v>
      </c>
      <c r="B7" s="4"/>
      <c r="C7" s="4"/>
    </row>
    <row r="8" customFormat="false" ht="21.75" hidden="false" customHeight="true" outlineLevel="0" collapsed="false">
      <c r="A8" s="3" t="s">
        <v>6</v>
      </c>
      <c r="B8" s="4"/>
      <c r="C8" s="4"/>
    </row>
    <row r="9" customFormat="false" ht="21.75" hidden="false" customHeight="true" outlineLevel="0" collapsed="false">
      <c r="A9" s="3" t="s">
        <v>7</v>
      </c>
      <c r="B9" s="4"/>
      <c r="C9" s="4"/>
    </row>
    <row r="11" customFormat="false" ht="27.75" hidden="false" customHeight="true" outlineLevel="0" collapsed="false">
      <c r="A11" s="1" t="s">
        <v>8</v>
      </c>
      <c r="B11" s="1"/>
      <c r="C11" s="1"/>
    </row>
    <row r="12" customFormat="false" ht="15" hidden="false" customHeight="false" outlineLevel="0" collapsed="false">
      <c r="A12" s="2" t="s">
        <v>9</v>
      </c>
      <c r="B12" s="2"/>
      <c r="C12" s="2"/>
    </row>
    <row r="14" customFormat="false" ht="21.75" hidden="false" customHeight="true" outlineLevel="0" collapsed="false">
      <c r="A14" s="3" t="s">
        <v>10</v>
      </c>
      <c r="B14" s="5" t="n">
        <v>85</v>
      </c>
    </row>
    <row r="15" customFormat="false" ht="21.75" hidden="false" customHeight="true" outlineLevel="0" collapsed="false">
      <c r="A15" s="3" t="s">
        <v>11</v>
      </c>
      <c r="B15" s="5" t="n">
        <v>680</v>
      </c>
    </row>
    <row r="16" customFormat="false" ht="21.75" hidden="false" customHeight="true" outlineLevel="0" collapsed="false">
      <c r="A16" s="3" t="s">
        <v>12</v>
      </c>
      <c r="B16" s="6" t="n">
        <v>0.2</v>
      </c>
    </row>
    <row r="17" customFormat="false" ht="21.75" hidden="false" customHeight="true" outlineLevel="0" collapsed="false">
      <c r="A17" s="3" t="s">
        <v>13</v>
      </c>
      <c r="B17" s="6" t="n">
        <v>0.05</v>
      </c>
    </row>
    <row r="18" customFormat="false" ht="21.75" hidden="false" customHeight="true" outlineLevel="0" collapsed="false">
      <c r="A18" s="3" t="s">
        <v>14</v>
      </c>
      <c r="B18" s="6" t="n">
        <v>0.1</v>
      </c>
    </row>
    <row r="20" customFormat="false" ht="27.75" hidden="false" customHeight="true" outlineLevel="0" collapsed="false">
      <c r="A20" s="1" t="s">
        <v>15</v>
      </c>
      <c r="B20" s="1"/>
      <c r="C20" s="1"/>
    </row>
    <row r="21" customFormat="false" ht="15" hidden="false" customHeight="false" outlineLevel="0" collapsed="false">
      <c r="A21" s="2" t="s">
        <v>16</v>
      </c>
      <c r="B21" s="2"/>
      <c r="C21" s="2"/>
    </row>
    <row r="23" customFormat="false" ht="15" hidden="false" customHeight="false" outlineLevel="0" collapsed="false">
      <c r="A23" s="7" t="n">
        <v>1</v>
      </c>
      <c r="B23" s="4" t="s">
        <v>17</v>
      </c>
      <c r="C23" s="4"/>
    </row>
    <row r="24" customFormat="false" ht="15" hidden="false" customHeight="false" outlineLevel="0" collapsed="false">
      <c r="A24" s="7" t="n">
        <v>2</v>
      </c>
      <c r="B24" s="4" t="s">
        <v>18</v>
      </c>
      <c r="C24" s="4"/>
    </row>
    <row r="25" customFormat="false" ht="15" hidden="false" customHeight="false" outlineLevel="0" collapsed="false">
      <c r="A25" s="7" t="n">
        <v>3</v>
      </c>
      <c r="B25" s="4" t="s">
        <v>19</v>
      </c>
      <c r="C25" s="4"/>
    </row>
    <row r="26" customFormat="false" ht="15" hidden="false" customHeight="false" outlineLevel="0" collapsed="false">
      <c r="A26" s="7" t="n">
        <v>4</v>
      </c>
      <c r="B26" s="4" t="s">
        <v>20</v>
      </c>
      <c r="C26" s="4"/>
    </row>
    <row r="27" customFormat="false" ht="15" hidden="false" customHeight="false" outlineLevel="0" collapsed="false">
      <c r="A27" s="7" t="n">
        <v>5</v>
      </c>
      <c r="B27" s="4" t="s">
        <v>21</v>
      </c>
      <c r="C27" s="4"/>
    </row>
    <row r="28" customFormat="false" ht="15" hidden="false" customHeight="false" outlineLevel="0" collapsed="false">
      <c r="A28" s="7" t="n">
        <v>6</v>
      </c>
      <c r="B28" s="4" t="s">
        <v>22</v>
      </c>
      <c r="C28" s="4"/>
    </row>
    <row r="29" customFormat="false" ht="15" hidden="false" customHeight="false" outlineLevel="0" collapsed="false">
      <c r="A29" s="7" t="n">
        <v>7</v>
      </c>
      <c r="B29" s="4" t="s">
        <v>23</v>
      </c>
      <c r="C29" s="4"/>
    </row>
    <row r="30" customFormat="false" ht="15" hidden="false" customHeight="false" outlineLevel="0" collapsed="false">
      <c r="A30" s="7" t="n">
        <v>8</v>
      </c>
      <c r="B30" s="4" t="s">
        <v>24</v>
      </c>
      <c r="C30" s="4"/>
    </row>
    <row r="31" customFormat="false" ht="15" hidden="false" customHeight="false" outlineLevel="0" collapsed="false">
      <c r="A31" s="7" t="n">
        <v>9</v>
      </c>
      <c r="B31" s="4" t="s">
        <v>25</v>
      </c>
      <c r="C31" s="4"/>
    </row>
    <row r="32" customFormat="false" ht="15" hidden="false" customHeight="false" outlineLevel="0" collapsed="false">
      <c r="A32" s="7" t="n">
        <v>10</v>
      </c>
      <c r="B32" s="4" t="s">
        <v>26</v>
      </c>
      <c r="C32" s="4"/>
    </row>
    <row r="33" customFormat="false" ht="15" hidden="false" customHeight="false" outlineLevel="0" collapsed="false">
      <c r="A33" s="7" t="n">
        <v>11</v>
      </c>
      <c r="B33" s="4" t="s">
        <v>27</v>
      </c>
      <c r="C33" s="4"/>
    </row>
    <row r="34" customFormat="false" ht="15" hidden="false" customHeight="false" outlineLevel="0" collapsed="false">
      <c r="A34" s="7" t="n">
        <v>12</v>
      </c>
      <c r="B34" s="4" t="s">
        <v>28</v>
      </c>
      <c r="C34" s="4"/>
    </row>
    <row r="35" customFormat="false" ht="15" hidden="false" customHeight="false" outlineLevel="0" collapsed="false">
      <c r="A35" s="7" t="n">
        <v>13</v>
      </c>
      <c r="B35" s="4" t="s">
        <v>29</v>
      </c>
      <c r="C35" s="4"/>
    </row>
    <row r="36" customFormat="false" ht="15" hidden="false" customHeight="false" outlineLevel="0" collapsed="false">
      <c r="A36" s="7" t="n">
        <v>14</v>
      </c>
      <c r="B36" s="4" t="s">
        <v>30</v>
      </c>
      <c r="C36" s="4"/>
    </row>
    <row r="37" customFormat="false" ht="15" hidden="false" customHeight="false" outlineLevel="0" collapsed="false">
      <c r="A37" s="7" t="n">
        <v>15</v>
      </c>
      <c r="B37" s="4" t="s">
        <v>31</v>
      </c>
      <c r="C37" s="4"/>
    </row>
    <row r="38" customFormat="false" ht="15" hidden="false" customHeight="false" outlineLevel="0" collapsed="false">
      <c r="A38" s="7" t="n">
        <v>16</v>
      </c>
      <c r="B38" s="4" t="s">
        <v>32</v>
      </c>
      <c r="C38" s="4"/>
    </row>
    <row r="39" customFormat="false" ht="15" hidden="false" customHeight="false" outlineLevel="0" collapsed="false">
      <c r="A39" s="7" t="n">
        <v>17</v>
      </c>
      <c r="B39" s="4" t="s">
        <v>33</v>
      </c>
      <c r="C39" s="4"/>
    </row>
    <row r="40" customFormat="false" ht="15" hidden="false" customHeight="false" outlineLevel="0" collapsed="false">
      <c r="A40" s="7" t="n">
        <v>18</v>
      </c>
      <c r="B40" s="4" t="s">
        <v>34</v>
      </c>
      <c r="C40" s="4"/>
    </row>
    <row r="41" customFormat="false" ht="15" hidden="false" customHeight="false" outlineLevel="0" collapsed="false">
      <c r="A41" s="7" t="n">
        <v>19</v>
      </c>
      <c r="B41" s="4" t="s">
        <v>35</v>
      </c>
      <c r="C41" s="4"/>
    </row>
    <row r="42" customFormat="false" ht="15" hidden="false" customHeight="false" outlineLevel="0" collapsed="false">
      <c r="A42" s="7" t="n">
        <v>20</v>
      </c>
      <c r="B42" s="4" t="s">
        <v>36</v>
      </c>
      <c r="C42" s="4"/>
    </row>
    <row r="43" customFormat="false" ht="15" hidden="false" customHeight="false" outlineLevel="0" collapsed="false">
      <c r="A43" s="7" t="n">
        <v>21</v>
      </c>
      <c r="B43" s="4" t="s">
        <v>37</v>
      </c>
      <c r="C43" s="4"/>
    </row>
    <row r="44" customFormat="false" ht="15" hidden="false" customHeight="false" outlineLevel="0" collapsed="false">
      <c r="A44" s="7" t="n">
        <v>22</v>
      </c>
      <c r="B44" s="4" t="s">
        <v>38</v>
      </c>
      <c r="C44" s="4"/>
    </row>
    <row r="45" customFormat="false" ht="15" hidden="false" customHeight="false" outlineLevel="0" collapsed="false">
      <c r="A45" s="7" t="n">
        <v>23</v>
      </c>
      <c r="B45" s="4" t="s">
        <v>39</v>
      </c>
      <c r="C45" s="4"/>
    </row>
    <row r="46" customFormat="false" ht="15" hidden="false" customHeight="false" outlineLevel="0" collapsed="false">
      <c r="A46" s="7" t="n">
        <v>24</v>
      </c>
      <c r="B46" s="4" t="s">
        <v>40</v>
      </c>
      <c r="C46" s="4"/>
    </row>
    <row r="47" customFormat="false" ht="15" hidden="false" customHeight="false" outlineLevel="0" collapsed="false">
      <c r="A47" s="7" t="n">
        <v>25</v>
      </c>
      <c r="B47" s="4" t="s">
        <v>41</v>
      </c>
      <c r="C47" s="4"/>
    </row>
    <row r="48" customFormat="false" ht="15" hidden="false" customHeight="false" outlineLevel="0" collapsed="false">
      <c r="A48" s="7" t="n">
        <v>26</v>
      </c>
      <c r="B48" s="4" t="s">
        <v>42</v>
      </c>
      <c r="C48" s="4"/>
    </row>
    <row r="49" customFormat="false" ht="15" hidden="false" customHeight="false" outlineLevel="0" collapsed="false">
      <c r="A49" s="7" t="n">
        <v>27</v>
      </c>
      <c r="B49" s="4" t="s">
        <v>43</v>
      </c>
      <c r="C49" s="4"/>
    </row>
  </sheetData>
  <mergeCells count="39">
    <mergeCell ref="A1:C1"/>
    <mergeCell ref="A2:C2"/>
    <mergeCell ref="B4:C4"/>
    <mergeCell ref="B5:C5"/>
    <mergeCell ref="B6:C6"/>
    <mergeCell ref="B7:C7"/>
    <mergeCell ref="B8:C8"/>
    <mergeCell ref="B9:C9"/>
    <mergeCell ref="A11:C11"/>
    <mergeCell ref="A12:C12"/>
    <mergeCell ref="A20:C20"/>
    <mergeCell ref="A21:C21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2"/>
    <col collapsed="false" customWidth="true" hidden="false" outlineLevel="0" max="4" min="3" style="0" width="10"/>
    <col collapsed="false" customWidth="true" hidden="false" outlineLevel="0" max="6" min="5" style="0" width="15"/>
    <col collapsed="false" customWidth="true" hidden="false" outlineLevel="0" max="7" min="7" style="0" width="22"/>
    <col collapsed="false" customWidth="true" hidden="false" outlineLevel="0" max="8" min="8" style="0" width="5"/>
  </cols>
  <sheetData>
    <row r="1" customFormat="false" ht="34.5" hidden="false" customHeight="true" outlineLevel="0" collapsed="false">
      <c r="A1" s="8" t="s">
        <v>44</v>
      </c>
      <c r="B1" s="8"/>
      <c r="C1" s="8"/>
      <c r="D1" s="8"/>
      <c r="E1" s="8"/>
      <c r="F1" s="8"/>
      <c r="G1" s="8"/>
      <c r="H1" s="8"/>
    </row>
    <row r="3" customFormat="false" ht="15" hidden="false" customHeight="false" outlineLevel="0" collapsed="false">
      <c r="A3" s="9" t="s">
        <v>45</v>
      </c>
      <c r="B3" s="10"/>
      <c r="C3" s="10"/>
      <c r="D3" s="10"/>
      <c r="F3" s="9" t="s">
        <v>46</v>
      </c>
      <c r="G3" s="11"/>
    </row>
    <row r="4" customFormat="false" ht="15" hidden="false" customHeight="false" outlineLevel="0" collapsed="false">
      <c r="A4" s="9" t="s">
        <v>47</v>
      </c>
      <c r="B4" s="10"/>
      <c r="C4" s="10"/>
      <c r="D4" s="10"/>
      <c r="F4" s="9" t="s">
        <v>48</v>
      </c>
      <c r="G4" s="4"/>
    </row>
    <row r="5" customFormat="false" ht="15" hidden="false" customHeight="false" outlineLevel="0" collapsed="false">
      <c r="A5" s="9" t="s">
        <v>49</v>
      </c>
      <c r="B5" s="10"/>
      <c r="C5" s="10"/>
      <c r="D5" s="10"/>
      <c r="F5" s="9" t="s">
        <v>50</v>
      </c>
      <c r="G5" s="4" t="s">
        <v>51</v>
      </c>
    </row>
    <row r="7" customFormat="false" ht="25.5" hidden="false" customHeight="true" outlineLevel="0" collapsed="false">
      <c r="A7" s="1" t="s">
        <v>52</v>
      </c>
      <c r="B7" s="1"/>
      <c r="C7" s="1"/>
      <c r="D7" s="1"/>
      <c r="E7" s="1"/>
      <c r="F7" s="1"/>
      <c r="G7" s="1"/>
      <c r="H7" s="1"/>
    </row>
    <row r="8" customFormat="false" ht="15" hidden="false" customHeight="false" outlineLevel="0" collapsed="false">
      <c r="A8" s="12" t="s">
        <v>53</v>
      </c>
      <c r="B8" s="12" t="s">
        <v>54</v>
      </c>
      <c r="C8" s="12" t="s">
        <v>55</v>
      </c>
      <c r="D8" s="12" t="s">
        <v>56</v>
      </c>
      <c r="E8" s="12" t="s">
        <v>57</v>
      </c>
      <c r="F8" s="12" t="s">
        <v>58</v>
      </c>
      <c r="G8" s="12" t="s">
        <v>59</v>
      </c>
    </row>
    <row r="9" customFormat="false" ht="15" hidden="false" customHeight="false" outlineLevel="0" collapsed="false">
      <c r="A9" s="4"/>
      <c r="B9" s="4"/>
      <c r="C9" s="13"/>
      <c r="D9" s="13"/>
      <c r="E9" s="5" t="n">
        <f aca="false">Setup!B14</f>
        <v>85</v>
      </c>
      <c r="F9" s="14" t="str">
        <f aca="false">IF(OR(C9="",E9=""),"",C9*E9)</f>
        <v/>
      </c>
      <c r="G9" s="4"/>
    </row>
    <row r="10" customFormat="false" ht="15" hidden="false" customHeight="false" outlineLevel="0" collapsed="false">
      <c r="A10" s="4"/>
      <c r="B10" s="4"/>
      <c r="C10" s="13"/>
      <c r="D10" s="13"/>
      <c r="E10" s="5" t="n">
        <f aca="false">Setup!B14</f>
        <v>85</v>
      </c>
      <c r="F10" s="14" t="str">
        <f aca="false">IF(OR(C10="",E10=""),"",C10*E10)</f>
        <v/>
      </c>
      <c r="G10" s="4"/>
    </row>
    <row r="11" customFormat="false" ht="15" hidden="false" customHeight="false" outlineLevel="0" collapsed="false">
      <c r="A11" s="4"/>
      <c r="B11" s="4"/>
      <c r="C11" s="13"/>
      <c r="D11" s="13"/>
      <c r="E11" s="5" t="n">
        <f aca="false">Setup!B14</f>
        <v>85</v>
      </c>
      <c r="F11" s="14" t="str">
        <f aca="false">IF(OR(C11="",E11=""),"",C11*E11)</f>
        <v/>
      </c>
      <c r="G11" s="4"/>
    </row>
    <row r="12" customFormat="false" ht="15" hidden="false" customHeight="false" outlineLevel="0" collapsed="false">
      <c r="A12" s="4"/>
      <c r="B12" s="4"/>
      <c r="C12" s="13"/>
      <c r="D12" s="13"/>
      <c r="E12" s="5" t="n">
        <f aca="false">Setup!B14</f>
        <v>85</v>
      </c>
      <c r="F12" s="14" t="str">
        <f aca="false">IF(OR(C12="",E12=""),"",C12*E12)</f>
        <v/>
      </c>
      <c r="G12" s="4"/>
    </row>
    <row r="13" customFormat="false" ht="15" hidden="false" customHeight="false" outlineLevel="0" collapsed="false">
      <c r="A13" s="4"/>
      <c r="B13" s="4"/>
      <c r="C13" s="13"/>
      <c r="D13" s="13"/>
      <c r="E13" s="5" t="n">
        <f aca="false">Setup!B14</f>
        <v>85</v>
      </c>
      <c r="F13" s="14" t="str">
        <f aca="false">IF(OR(C13="",E13=""),"",C13*E13)</f>
        <v/>
      </c>
      <c r="G13" s="4"/>
    </row>
    <row r="14" customFormat="false" ht="15" hidden="false" customHeight="false" outlineLevel="0" collapsed="false">
      <c r="A14" s="4"/>
      <c r="B14" s="4"/>
      <c r="C14" s="13"/>
      <c r="D14" s="13"/>
      <c r="E14" s="5" t="n">
        <f aca="false">Setup!B14</f>
        <v>85</v>
      </c>
      <c r="F14" s="14" t="str">
        <f aca="false">IF(OR(C14="",E14=""),"",C14*E14)</f>
        <v/>
      </c>
      <c r="G14" s="4"/>
    </row>
    <row r="15" customFormat="false" ht="15" hidden="false" customHeight="false" outlineLevel="0" collapsed="false">
      <c r="A15" s="4"/>
      <c r="B15" s="4"/>
      <c r="C15" s="13"/>
      <c r="D15" s="13"/>
      <c r="E15" s="5" t="n">
        <f aca="false">Setup!B14</f>
        <v>85</v>
      </c>
      <c r="F15" s="14" t="str">
        <f aca="false">IF(OR(C15="",E15=""),"",C15*E15)</f>
        <v/>
      </c>
      <c r="G15" s="4"/>
    </row>
    <row r="16" customFormat="false" ht="15" hidden="false" customHeight="false" outlineLevel="0" collapsed="false">
      <c r="A16" s="4"/>
      <c r="B16" s="4"/>
      <c r="C16" s="13"/>
      <c r="D16" s="13"/>
      <c r="E16" s="5" t="n">
        <f aca="false">Setup!B14</f>
        <v>85</v>
      </c>
      <c r="F16" s="14" t="str">
        <f aca="false">IF(OR(C16="",E16=""),"",C16*E16)</f>
        <v/>
      </c>
      <c r="G16" s="4"/>
    </row>
    <row r="17" customFormat="false" ht="15" hidden="false" customHeight="false" outlineLevel="0" collapsed="false">
      <c r="A17" s="4"/>
      <c r="B17" s="4"/>
      <c r="C17" s="13"/>
      <c r="D17" s="13"/>
      <c r="E17" s="5" t="n">
        <f aca="false">Setup!B14</f>
        <v>85</v>
      </c>
      <c r="F17" s="14" t="str">
        <f aca="false">IF(OR(C17="",E17=""),"",C17*E17)</f>
        <v/>
      </c>
      <c r="G17" s="4"/>
    </row>
    <row r="18" customFormat="false" ht="15" hidden="false" customHeight="false" outlineLevel="0" collapsed="false">
      <c r="A18" s="4"/>
      <c r="B18" s="4"/>
      <c r="C18" s="13"/>
      <c r="D18" s="13"/>
      <c r="E18" s="5" t="n">
        <f aca="false">Setup!B14</f>
        <v>85</v>
      </c>
      <c r="F18" s="14" t="str">
        <f aca="false">IF(OR(C18="",E18=""),"",C18*E18)</f>
        <v/>
      </c>
      <c r="G18" s="4"/>
    </row>
    <row r="19" customFormat="false" ht="15" hidden="false" customHeight="false" outlineLevel="0" collapsed="false">
      <c r="A19" s="4"/>
      <c r="B19" s="4"/>
      <c r="C19" s="13"/>
      <c r="D19" s="13"/>
      <c r="E19" s="5" t="n">
        <f aca="false">Setup!B14</f>
        <v>85</v>
      </c>
      <c r="F19" s="14" t="str">
        <f aca="false">IF(OR(C19="",E19=""),"",C19*E19)</f>
        <v/>
      </c>
      <c r="G19" s="4"/>
    </row>
    <row r="20" customFormat="false" ht="15" hidden="false" customHeight="false" outlineLevel="0" collapsed="false">
      <c r="A20" s="4"/>
      <c r="B20" s="4"/>
      <c r="C20" s="13"/>
      <c r="D20" s="13"/>
      <c r="E20" s="5" t="n">
        <f aca="false">Setup!B14</f>
        <v>85</v>
      </c>
      <c r="F20" s="14" t="str">
        <f aca="false">IF(OR(C20="",E20=""),"",C20*E20)</f>
        <v/>
      </c>
      <c r="G20" s="4"/>
    </row>
    <row r="21" customFormat="false" ht="15" hidden="false" customHeight="false" outlineLevel="0" collapsed="false">
      <c r="A21" s="4"/>
      <c r="B21" s="4"/>
      <c r="C21" s="13"/>
      <c r="D21" s="13"/>
      <c r="E21" s="5" t="n">
        <f aca="false">Setup!B14</f>
        <v>85</v>
      </c>
      <c r="F21" s="14" t="str">
        <f aca="false">IF(OR(C21="",E21=""),"",C21*E21)</f>
        <v/>
      </c>
      <c r="G21" s="4"/>
    </row>
    <row r="22" customFormat="false" ht="15" hidden="false" customHeight="false" outlineLevel="0" collapsed="false">
      <c r="A22" s="4"/>
      <c r="B22" s="4"/>
      <c r="C22" s="13"/>
      <c r="D22" s="13"/>
      <c r="E22" s="5" t="n">
        <f aca="false">Setup!B14</f>
        <v>85</v>
      </c>
      <c r="F22" s="14" t="str">
        <f aca="false">IF(OR(C22="",E22=""),"",C22*E22)</f>
        <v/>
      </c>
      <c r="G22" s="4"/>
    </row>
    <row r="23" customFormat="false" ht="15" hidden="false" customHeight="false" outlineLevel="0" collapsed="false">
      <c r="A23" s="4"/>
      <c r="B23" s="4"/>
      <c r="C23" s="13"/>
      <c r="D23" s="13"/>
      <c r="E23" s="5" t="n">
        <f aca="false">Setup!B14</f>
        <v>85</v>
      </c>
      <c r="F23" s="14" t="str">
        <f aca="false">IF(OR(C23="",E23=""),"",C23*E23)</f>
        <v/>
      </c>
      <c r="G23" s="4"/>
    </row>
    <row r="24" customFormat="false" ht="15" hidden="false" customHeight="false" outlineLevel="0" collapsed="false">
      <c r="A24" s="4"/>
      <c r="B24" s="4"/>
      <c r="C24" s="13"/>
      <c r="D24" s="13"/>
      <c r="E24" s="5" t="n">
        <f aca="false">Setup!B14</f>
        <v>85</v>
      </c>
      <c r="F24" s="14" t="str">
        <f aca="false">IF(OR(C24="",E24=""),"",C24*E24)</f>
        <v/>
      </c>
      <c r="G24" s="4"/>
    </row>
    <row r="25" customFormat="false" ht="15" hidden="false" customHeight="false" outlineLevel="0" collapsed="false">
      <c r="A25" s="4"/>
      <c r="B25" s="4"/>
      <c r="C25" s="13"/>
      <c r="D25" s="13"/>
      <c r="E25" s="5" t="n">
        <f aca="false">Setup!B14</f>
        <v>85</v>
      </c>
      <c r="F25" s="14" t="str">
        <f aca="false">IF(OR(C25="",E25=""),"",C25*E25)</f>
        <v/>
      </c>
      <c r="G25" s="4"/>
    </row>
    <row r="26" customFormat="false" ht="15" hidden="false" customHeight="false" outlineLevel="0" collapsed="false">
      <c r="A26" s="4"/>
      <c r="B26" s="4"/>
      <c r="C26" s="13"/>
      <c r="D26" s="13"/>
      <c r="E26" s="5" t="n">
        <f aca="false">Setup!B14</f>
        <v>85</v>
      </c>
      <c r="F26" s="14" t="str">
        <f aca="false">IF(OR(C26="",E26=""),"",C26*E26)</f>
        <v/>
      </c>
      <c r="G26" s="4"/>
    </row>
    <row r="27" customFormat="false" ht="15" hidden="false" customHeight="false" outlineLevel="0" collapsed="false">
      <c r="A27" s="4"/>
      <c r="B27" s="4"/>
      <c r="C27" s="13"/>
      <c r="D27" s="13"/>
      <c r="E27" s="5" t="n">
        <f aca="false">Setup!B14</f>
        <v>85</v>
      </c>
      <c r="F27" s="14" t="str">
        <f aca="false">IF(OR(C27="",E27=""),"",C27*E27)</f>
        <v/>
      </c>
      <c r="G27" s="4"/>
    </row>
    <row r="28" customFormat="false" ht="15" hidden="false" customHeight="false" outlineLevel="0" collapsed="false">
      <c r="A28" s="4"/>
      <c r="B28" s="4"/>
      <c r="C28" s="13"/>
      <c r="D28" s="13"/>
      <c r="E28" s="5" t="n">
        <f aca="false">Setup!B14</f>
        <v>85</v>
      </c>
      <c r="F28" s="14" t="str">
        <f aca="false">IF(OR(C28="",E28=""),"",C28*E28)</f>
        <v/>
      </c>
      <c r="G28" s="4"/>
    </row>
    <row r="29" customFormat="false" ht="15" hidden="false" customHeight="false" outlineLevel="0" collapsed="false">
      <c r="E29" s="15" t="s">
        <v>60</v>
      </c>
      <c r="F29" s="14" t="n">
        <f aca="false">SUM(F9:F28)</f>
        <v>0</v>
      </c>
    </row>
    <row r="31" customFormat="false" ht="25.5" hidden="false" customHeight="true" outlineLevel="0" collapsed="false">
      <c r="A31" s="1" t="s">
        <v>61</v>
      </c>
      <c r="B31" s="1"/>
      <c r="C31" s="1"/>
      <c r="D31" s="1"/>
      <c r="E31" s="1"/>
      <c r="F31" s="1"/>
      <c r="G31" s="1"/>
      <c r="H31" s="1"/>
    </row>
    <row r="32" customFormat="false" ht="15" hidden="false" customHeight="false" outlineLevel="0" collapsed="false">
      <c r="A32" s="12" t="s">
        <v>62</v>
      </c>
      <c r="B32" s="12" t="s">
        <v>54</v>
      </c>
      <c r="C32" s="12" t="s">
        <v>55</v>
      </c>
      <c r="D32" s="12" t="s">
        <v>56</v>
      </c>
      <c r="E32" s="12" t="s">
        <v>63</v>
      </c>
      <c r="F32" s="12" t="s">
        <v>58</v>
      </c>
      <c r="G32" s="12" t="s">
        <v>64</v>
      </c>
    </row>
    <row r="33" customFormat="false" ht="15" hidden="false" customHeight="false" outlineLevel="0" collapsed="false">
      <c r="A33" s="4"/>
      <c r="B33" s="4"/>
      <c r="C33" s="13"/>
      <c r="D33" s="13"/>
      <c r="E33" s="5"/>
      <c r="F33" s="14" t="str">
        <f aca="false">IF(OR(C33="",E33=""),"",C33*E33)</f>
        <v/>
      </c>
      <c r="G33" s="4"/>
    </row>
    <row r="34" customFormat="false" ht="15" hidden="false" customHeight="false" outlineLevel="0" collapsed="false">
      <c r="A34" s="4"/>
      <c r="B34" s="4"/>
      <c r="C34" s="13"/>
      <c r="D34" s="13"/>
      <c r="E34" s="5"/>
      <c r="F34" s="14" t="str">
        <f aca="false">IF(OR(C34="",E34=""),"",C34*E34)</f>
        <v/>
      </c>
      <c r="G34" s="4"/>
    </row>
    <row r="35" customFormat="false" ht="15" hidden="false" customHeight="false" outlineLevel="0" collapsed="false">
      <c r="A35" s="4"/>
      <c r="B35" s="4"/>
      <c r="C35" s="13"/>
      <c r="D35" s="13"/>
      <c r="E35" s="5"/>
      <c r="F35" s="14" t="str">
        <f aca="false">IF(OR(C35="",E35=""),"",C35*E35)</f>
        <v/>
      </c>
      <c r="G35" s="4"/>
    </row>
    <row r="36" customFormat="false" ht="15" hidden="false" customHeight="false" outlineLevel="0" collapsed="false">
      <c r="A36" s="4"/>
      <c r="B36" s="4"/>
      <c r="C36" s="13"/>
      <c r="D36" s="13"/>
      <c r="E36" s="5"/>
      <c r="F36" s="14" t="str">
        <f aca="false">IF(OR(C36="",E36=""),"",C36*E36)</f>
        <v/>
      </c>
      <c r="G36" s="4"/>
    </row>
    <row r="37" customFormat="false" ht="15" hidden="false" customHeight="false" outlineLevel="0" collapsed="false">
      <c r="A37" s="4"/>
      <c r="B37" s="4"/>
      <c r="C37" s="13"/>
      <c r="D37" s="13"/>
      <c r="E37" s="5"/>
      <c r="F37" s="14" t="str">
        <f aca="false">IF(OR(C37="",E37=""),"",C37*E37)</f>
        <v/>
      </c>
      <c r="G37" s="4"/>
    </row>
    <row r="38" customFormat="false" ht="15" hidden="false" customHeight="false" outlineLevel="0" collapsed="false">
      <c r="A38" s="4"/>
      <c r="B38" s="4"/>
      <c r="C38" s="13"/>
      <c r="D38" s="13"/>
      <c r="E38" s="5"/>
      <c r="F38" s="14" t="str">
        <f aca="false">IF(OR(C38="",E38=""),"",C38*E38)</f>
        <v/>
      </c>
      <c r="G38" s="4"/>
    </row>
    <row r="39" customFormat="false" ht="15" hidden="false" customHeight="false" outlineLevel="0" collapsed="false">
      <c r="A39" s="4"/>
      <c r="B39" s="4"/>
      <c r="C39" s="13"/>
      <c r="D39" s="13"/>
      <c r="E39" s="5"/>
      <c r="F39" s="14" t="str">
        <f aca="false">IF(OR(C39="",E39=""),"",C39*E39)</f>
        <v/>
      </c>
      <c r="G39" s="4"/>
    </row>
    <row r="40" customFormat="false" ht="15" hidden="false" customHeight="false" outlineLevel="0" collapsed="false">
      <c r="A40" s="4"/>
      <c r="B40" s="4"/>
      <c r="C40" s="13"/>
      <c r="D40" s="13"/>
      <c r="E40" s="5"/>
      <c r="F40" s="14" t="str">
        <f aca="false">IF(OR(C40="",E40=""),"",C40*E40)</f>
        <v/>
      </c>
      <c r="G40" s="4"/>
    </row>
    <row r="41" customFormat="false" ht="15" hidden="false" customHeight="false" outlineLevel="0" collapsed="false">
      <c r="A41" s="4"/>
      <c r="B41" s="4"/>
      <c r="C41" s="13"/>
      <c r="D41" s="13"/>
      <c r="E41" s="5"/>
      <c r="F41" s="14" t="str">
        <f aca="false">IF(OR(C41="",E41=""),"",C41*E41)</f>
        <v/>
      </c>
      <c r="G41" s="4"/>
    </row>
    <row r="42" customFormat="false" ht="15" hidden="false" customHeight="false" outlineLevel="0" collapsed="false">
      <c r="A42" s="4"/>
      <c r="B42" s="4"/>
      <c r="C42" s="13"/>
      <c r="D42" s="13"/>
      <c r="E42" s="5"/>
      <c r="F42" s="14" t="str">
        <f aca="false">IF(OR(C42="",E42=""),"",C42*E42)</f>
        <v/>
      </c>
      <c r="G42" s="4"/>
    </row>
    <row r="43" customFormat="false" ht="15" hidden="false" customHeight="false" outlineLevel="0" collapsed="false">
      <c r="A43" s="4"/>
      <c r="B43" s="4"/>
      <c r="C43" s="13"/>
      <c r="D43" s="13"/>
      <c r="E43" s="5"/>
      <c r="F43" s="14" t="str">
        <f aca="false">IF(OR(C43="",E43=""),"",C43*E43)</f>
        <v/>
      </c>
      <c r="G43" s="4"/>
    </row>
    <row r="44" customFormat="false" ht="15" hidden="false" customHeight="false" outlineLevel="0" collapsed="false">
      <c r="A44" s="4"/>
      <c r="B44" s="4"/>
      <c r="C44" s="13"/>
      <c r="D44" s="13"/>
      <c r="E44" s="5"/>
      <c r="F44" s="14" t="str">
        <f aca="false">IF(OR(C44="",E44=""),"",C44*E44)</f>
        <v/>
      </c>
      <c r="G44" s="4"/>
    </row>
    <row r="45" customFormat="false" ht="15" hidden="false" customHeight="false" outlineLevel="0" collapsed="false">
      <c r="A45" s="4"/>
      <c r="B45" s="4"/>
      <c r="C45" s="13"/>
      <c r="D45" s="13"/>
      <c r="E45" s="5"/>
      <c r="F45" s="14" t="str">
        <f aca="false">IF(OR(C45="",E45=""),"",C45*E45)</f>
        <v/>
      </c>
      <c r="G45" s="4"/>
    </row>
    <row r="46" customFormat="false" ht="15" hidden="false" customHeight="false" outlineLevel="0" collapsed="false">
      <c r="A46" s="4"/>
      <c r="B46" s="4"/>
      <c r="C46" s="13"/>
      <c r="D46" s="13"/>
      <c r="E46" s="5"/>
      <c r="F46" s="14" t="str">
        <f aca="false">IF(OR(C46="",E46=""),"",C46*E46)</f>
        <v/>
      </c>
      <c r="G46" s="4"/>
    </row>
    <row r="47" customFormat="false" ht="15" hidden="false" customHeight="false" outlineLevel="0" collapsed="false">
      <c r="A47" s="4"/>
      <c r="B47" s="4"/>
      <c r="C47" s="13"/>
      <c r="D47" s="13"/>
      <c r="E47" s="5"/>
      <c r="F47" s="14" t="str">
        <f aca="false">IF(OR(C47="",E47=""),"",C47*E47)</f>
        <v/>
      </c>
      <c r="G47" s="4"/>
    </row>
    <row r="48" customFormat="false" ht="15" hidden="false" customHeight="false" outlineLevel="0" collapsed="false">
      <c r="A48" s="4"/>
      <c r="B48" s="4"/>
      <c r="C48" s="13"/>
      <c r="D48" s="13"/>
      <c r="E48" s="5"/>
      <c r="F48" s="14" t="str">
        <f aca="false">IF(OR(C48="",E48=""),"",C48*E48)</f>
        <v/>
      </c>
      <c r="G48" s="4"/>
    </row>
    <row r="49" customFormat="false" ht="15" hidden="false" customHeight="false" outlineLevel="0" collapsed="false">
      <c r="A49" s="4"/>
      <c r="B49" s="4"/>
      <c r="C49" s="13"/>
      <c r="D49" s="13"/>
      <c r="E49" s="5"/>
      <c r="F49" s="14" t="str">
        <f aca="false">IF(OR(C49="",E49=""),"",C49*E49)</f>
        <v/>
      </c>
      <c r="G49" s="4"/>
    </row>
    <row r="50" customFormat="false" ht="15" hidden="false" customHeight="false" outlineLevel="0" collapsed="false">
      <c r="A50" s="4"/>
      <c r="B50" s="4"/>
      <c r="C50" s="13"/>
      <c r="D50" s="13"/>
      <c r="E50" s="5"/>
      <c r="F50" s="14" t="str">
        <f aca="false">IF(OR(C50="",E50=""),"",C50*E50)</f>
        <v/>
      </c>
      <c r="G50" s="4"/>
    </row>
    <row r="51" customFormat="false" ht="15" hidden="false" customHeight="false" outlineLevel="0" collapsed="false">
      <c r="A51" s="4"/>
      <c r="B51" s="4"/>
      <c r="C51" s="13"/>
      <c r="D51" s="13"/>
      <c r="E51" s="5"/>
      <c r="F51" s="14" t="str">
        <f aca="false">IF(OR(C51="",E51=""),"",C51*E51)</f>
        <v/>
      </c>
      <c r="G51" s="4"/>
    </row>
    <row r="52" customFormat="false" ht="15" hidden="false" customHeight="false" outlineLevel="0" collapsed="false">
      <c r="A52" s="4"/>
      <c r="B52" s="4"/>
      <c r="C52" s="13"/>
      <c r="D52" s="13"/>
      <c r="E52" s="5"/>
      <c r="F52" s="14" t="str">
        <f aca="false">IF(OR(C52="",E52=""),"",C52*E52)</f>
        <v/>
      </c>
      <c r="G52" s="4"/>
    </row>
    <row r="53" customFormat="false" ht="15" hidden="false" customHeight="false" outlineLevel="0" collapsed="false">
      <c r="A53" s="4"/>
      <c r="B53" s="4"/>
      <c r="C53" s="13"/>
      <c r="D53" s="13"/>
      <c r="E53" s="5"/>
      <c r="F53" s="14" t="str">
        <f aca="false">IF(OR(C53="",E53=""),"",C53*E53)</f>
        <v/>
      </c>
      <c r="G53" s="4"/>
    </row>
    <row r="54" customFormat="false" ht="15" hidden="false" customHeight="false" outlineLevel="0" collapsed="false">
      <c r="A54" s="4"/>
      <c r="B54" s="4"/>
      <c r="C54" s="13"/>
      <c r="D54" s="13"/>
      <c r="E54" s="5"/>
      <c r="F54" s="14" t="str">
        <f aca="false">IF(OR(C54="",E54=""),"",C54*E54)</f>
        <v/>
      </c>
      <c r="G54" s="4"/>
    </row>
    <row r="55" customFormat="false" ht="15" hidden="false" customHeight="false" outlineLevel="0" collapsed="false">
      <c r="A55" s="4"/>
      <c r="B55" s="4"/>
      <c r="C55" s="13"/>
      <c r="D55" s="13"/>
      <c r="E55" s="5"/>
      <c r="F55" s="14" t="str">
        <f aca="false">IF(OR(C55="",E55=""),"",C55*E55)</f>
        <v/>
      </c>
      <c r="G55" s="4"/>
    </row>
    <row r="56" customFormat="false" ht="15" hidden="false" customHeight="false" outlineLevel="0" collapsed="false">
      <c r="A56" s="4"/>
      <c r="B56" s="4"/>
      <c r="C56" s="13"/>
      <c r="D56" s="13"/>
      <c r="E56" s="5"/>
      <c r="F56" s="14" t="str">
        <f aca="false">IF(OR(C56="",E56=""),"",C56*E56)</f>
        <v/>
      </c>
      <c r="G56" s="4"/>
    </row>
    <row r="57" customFormat="false" ht="15" hidden="false" customHeight="false" outlineLevel="0" collapsed="false">
      <c r="A57" s="4"/>
      <c r="B57" s="4"/>
      <c r="C57" s="13"/>
      <c r="D57" s="13"/>
      <c r="E57" s="5"/>
      <c r="F57" s="14" t="str">
        <f aca="false">IF(OR(C57="",E57=""),"",C57*E57)</f>
        <v/>
      </c>
      <c r="G57" s="4"/>
    </row>
    <row r="58" customFormat="false" ht="15" hidden="false" customHeight="false" outlineLevel="0" collapsed="false">
      <c r="E58" s="15" t="s">
        <v>65</v>
      </c>
      <c r="F58" s="14" t="n">
        <f aca="false">SUM(F33:F57)</f>
        <v>0</v>
      </c>
    </row>
    <row r="60" customFormat="false" ht="25.5" hidden="false" customHeight="true" outlineLevel="0" collapsed="false">
      <c r="A60" s="1" t="s">
        <v>66</v>
      </c>
      <c r="B60" s="1"/>
      <c r="C60" s="1"/>
      <c r="D60" s="1"/>
      <c r="E60" s="1"/>
      <c r="F60" s="1"/>
      <c r="G60" s="1"/>
      <c r="H60" s="1"/>
    </row>
    <row r="61" customFormat="false" ht="15" hidden="false" customHeight="false" outlineLevel="0" collapsed="false">
      <c r="A61" s="12" t="s">
        <v>67</v>
      </c>
      <c r="B61" s="12" t="s">
        <v>68</v>
      </c>
      <c r="C61" s="12" t="s">
        <v>69</v>
      </c>
      <c r="D61" s="12" t="s">
        <v>70</v>
      </c>
      <c r="E61" s="12" t="s">
        <v>58</v>
      </c>
      <c r="F61" s="12" t="s">
        <v>71</v>
      </c>
      <c r="G61" s="12" t="s">
        <v>59</v>
      </c>
    </row>
    <row r="62" customFormat="false" ht="15" hidden="false" customHeight="false" outlineLevel="0" collapsed="false">
      <c r="A62" s="4"/>
      <c r="B62" s="4"/>
      <c r="C62" s="4"/>
      <c r="D62" s="11"/>
      <c r="E62" s="5"/>
      <c r="F62" s="4"/>
      <c r="G62" s="4"/>
    </row>
    <row r="63" customFormat="false" ht="15" hidden="false" customHeight="false" outlineLevel="0" collapsed="false">
      <c r="A63" s="4"/>
      <c r="B63" s="4"/>
      <c r="C63" s="4"/>
      <c r="D63" s="11"/>
      <c r="E63" s="5"/>
      <c r="F63" s="4"/>
      <c r="G63" s="4"/>
    </row>
    <row r="64" customFormat="false" ht="15" hidden="false" customHeight="false" outlineLevel="0" collapsed="false">
      <c r="A64" s="4"/>
      <c r="B64" s="4"/>
      <c r="C64" s="4"/>
      <c r="D64" s="11"/>
      <c r="E64" s="5"/>
      <c r="F64" s="4"/>
      <c r="G64" s="4"/>
    </row>
    <row r="65" customFormat="false" ht="15" hidden="false" customHeight="false" outlineLevel="0" collapsed="false">
      <c r="A65" s="4"/>
      <c r="B65" s="4"/>
      <c r="C65" s="4"/>
      <c r="D65" s="11"/>
      <c r="E65" s="5"/>
      <c r="F65" s="4"/>
      <c r="G65" s="4"/>
    </row>
    <row r="66" customFormat="false" ht="15" hidden="false" customHeight="false" outlineLevel="0" collapsed="false">
      <c r="A66" s="4"/>
      <c r="B66" s="4"/>
      <c r="C66" s="4"/>
      <c r="D66" s="11"/>
      <c r="E66" s="5"/>
      <c r="F66" s="4"/>
      <c r="G66" s="4"/>
    </row>
    <row r="67" customFormat="false" ht="15" hidden="false" customHeight="false" outlineLevel="0" collapsed="false">
      <c r="A67" s="4"/>
      <c r="B67" s="4"/>
      <c r="C67" s="4"/>
      <c r="D67" s="11"/>
      <c r="E67" s="5"/>
      <c r="F67" s="4"/>
      <c r="G67" s="4"/>
    </row>
    <row r="68" customFormat="false" ht="15" hidden="false" customHeight="false" outlineLevel="0" collapsed="false">
      <c r="A68" s="4"/>
      <c r="B68" s="4"/>
      <c r="C68" s="4"/>
      <c r="D68" s="11"/>
      <c r="E68" s="5"/>
      <c r="F68" s="4"/>
      <c r="G68" s="4"/>
    </row>
    <row r="69" customFormat="false" ht="15" hidden="false" customHeight="false" outlineLevel="0" collapsed="false">
      <c r="A69" s="4"/>
      <c r="B69" s="4"/>
      <c r="C69" s="4"/>
      <c r="D69" s="11"/>
      <c r="E69" s="5"/>
      <c r="F69" s="4"/>
      <c r="G69" s="4"/>
    </row>
    <row r="70" customFormat="false" ht="15" hidden="false" customHeight="false" outlineLevel="0" collapsed="false">
      <c r="A70" s="4"/>
      <c r="B70" s="4"/>
      <c r="C70" s="4"/>
      <c r="D70" s="11"/>
      <c r="E70" s="5"/>
      <c r="F70" s="4"/>
      <c r="G70" s="4"/>
    </row>
    <row r="71" customFormat="false" ht="15" hidden="false" customHeight="false" outlineLevel="0" collapsed="false">
      <c r="A71" s="4"/>
      <c r="B71" s="4"/>
      <c r="C71" s="4"/>
      <c r="D71" s="11"/>
      <c r="E71" s="5"/>
      <c r="F71" s="4"/>
      <c r="G71" s="4"/>
    </row>
    <row r="72" customFormat="false" ht="15" hidden="false" customHeight="false" outlineLevel="0" collapsed="false">
      <c r="A72" s="4"/>
      <c r="B72" s="4"/>
      <c r="C72" s="4"/>
      <c r="D72" s="11"/>
      <c r="E72" s="5"/>
      <c r="F72" s="4"/>
      <c r="G72" s="4"/>
    </row>
    <row r="73" customFormat="false" ht="15" hidden="false" customHeight="false" outlineLevel="0" collapsed="false">
      <c r="A73" s="4"/>
      <c r="B73" s="4"/>
      <c r="C73" s="4"/>
      <c r="D73" s="11"/>
      <c r="E73" s="5"/>
      <c r="F73" s="4"/>
      <c r="G73" s="4"/>
    </row>
    <row r="74" customFormat="false" ht="15" hidden="false" customHeight="false" outlineLevel="0" collapsed="false">
      <c r="A74" s="4"/>
      <c r="B74" s="4"/>
      <c r="C74" s="4"/>
      <c r="D74" s="11"/>
      <c r="E74" s="5"/>
      <c r="F74" s="4"/>
      <c r="G74" s="4"/>
    </row>
    <row r="75" customFormat="false" ht="15" hidden="false" customHeight="false" outlineLevel="0" collapsed="false">
      <c r="A75" s="4"/>
      <c r="B75" s="4"/>
      <c r="C75" s="4"/>
      <c r="D75" s="11"/>
      <c r="E75" s="5"/>
      <c r="F75" s="4"/>
      <c r="G75" s="4"/>
    </row>
    <row r="76" customFormat="false" ht="15" hidden="false" customHeight="false" outlineLevel="0" collapsed="false">
      <c r="A76" s="4"/>
      <c r="B76" s="4"/>
      <c r="C76" s="4"/>
      <c r="D76" s="11"/>
      <c r="E76" s="5"/>
      <c r="F76" s="4"/>
      <c r="G76" s="4"/>
    </row>
    <row r="77" customFormat="false" ht="15" hidden="false" customHeight="false" outlineLevel="0" collapsed="false">
      <c r="D77" s="15" t="s">
        <v>72</v>
      </c>
      <c r="E77" s="14" t="n">
        <f aca="false">SUM(E62:E76)</f>
        <v>0</v>
      </c>
    </row>
    <row r="79" customFormat="false" ht="25.5" hidden="false" customHeight="true" outlineLevel="0" collapsed="false">
      <c r="A79" s="1" t="s">
        <v>73</v>
      </c>
      <c r="B79" s="1"/>
      <c r="C79" s="1"/>
      <c r="D79" s="1"/>
      <c r="E79" s="1"/>
      <c r="F79" s="1"/>
      <c r="G79" s="1"/>
      <c r="H79" s="1"/>
    </row>
    <row r="81" customFormat="false" ht="15" hidden="false" customHeight="false" outlineLevel="0" collapsed="false">
      <c r="E81" s="3" t="s">
        <v>74</v>
      </c>
      <c r="F81" s="14" t="n">
        <f aca="false">F29</f>
        <v>0</v>
      </c>
    </row>
    <row r="82" customFormat="false" ht="15" hidden="false" customHeight="false" outlineLevel="0" collapsed="false">
      <c r="E82" s="3" t="s">
        <v>75</v>
      </c>
      <c r="F82" s="14" t="n">
        <f aca="false">F58</f>
        <v>0</v>
      </c>
    </row>
    <row r="83" customFormat="false" ht="15" hidden="false" customHeight="false" outlineLevel="0" collapsed="false">
      <c r="E83" s="3" t="s">
        <v>76</v>
      </c>
      <c r="F83" s="14" t="n">
        <f aca="false">E77</f>
        <v>0</v>
      </c>
    </row>
    <row r="85" customFormat="false" ht="15" hidden="false" customHeight="false" outlineLevel="0" collapsed="false">
      <c r="E85" s="3" t="s">
        <v>77</v>
      </c>
      <c r="F85" s="16" t="n">
        <f aca="false">F81+F82+F83</f>
        <v>0</v>
      </c>
    </row>
    <row r="87" customFormat="false" ht="15" hidden="false" customHeight="false" outlineLevel="0" collapsed="false">
      <c r="E87" s="3" t="s">
        <v>78</v>
      </c>
      <c r="F87" s="14" t="n">
        <f aca="false">F85*Setup!B17</f>
        <v>0</v>
      </c>
    </row>
    <row r="89" customFormat="false" ht="15" hidden="false" customHeight="false" outlineLevel="0" collapsed="false">
      <c r="E89" s="3" t="s">
        <v>79</v>
      </c>
      <c r="F89" s="16" t="n">
        <f aca="false">F85+F87</f>
        <v>0</v>
      </c>
    </row>
    <row r="91" customFormat="false" ht="15" hidden="false" customHeight="false" outlineLevel="0" collapsed="false">
      <c r="E91" s="3" t="s">
        <v>80</v>
      </c>
      <c r="F91" s="14" t="n">
        <f aca="false">F89*Setup!B16</f>
        <v>0</v>
      </c>
    </row>
    <row r="93" customFormat="false" ht="15" hidden="false" customHeight="false" outlineLevel="0" collapsed="false">
      <c r="E93" s="3" t="s">
        <v>81</v>
      </c>
      <c r="F93" s="16" t="n">
        <f aca="false">F89+F91</f>
        <v>0</v>
      </c>
    </row>
    <row r="94" customFormat="false" ht="15" hidden="false" customHeight="false" outlineLevel="0" collapsed="false">
      <c r="E94" s="3" t="s">
        <v>82</v>
      </c>
      <c r="F94" s="14" t="n">
        <f aca="false">F93*Setup!B18</f>
        <v>0</v>
      </c>
    </row>
    <row r="96" customFormat="false" ht="31.5" hidden="false" customHeight="true" outlineLevel="0" collapsed="false">
      <c r="E96" s="17" t="s">
        <v>83</v>
      </c>
      <c r="F96" s="18" t="n">
        <f aca="false">F93+F94</f>
        <v>0</v>
      </c>
    </row>
  </sheetData>
  <mergeCells count="8">
    <mergeCell ref="A1:H1"/>
    <mergeCell ref="B3:D3"/>
    <mergeCell ref="B4:D4"/>
    <mergeCell ref="B5:D5"/>
    <mergeCell ref="A7:H7"/>
    <mergeCell ref="A31:H31"/>
    <mergeCell ref="A60:H60"/>
    <mergeCell ref="A79:H79"/>
  </mergeCells>
  <dataValidations count="2">
    <dataValidation allowBlank="true" errorStyle="stop" operator="between" showDropDown="false" showErrorMessage="false" showInputMessage="false" sqref="D9:D28 D33:D57" type="list">
      <formula1>"hrs,days,ea,m,m2,m3,lm,kg,t,lot,allow"</formula1>
      <formula2>0</formula2>
    </dataValidation>
    <dataValidation allowBlank="true" errorStyle="stop" operator="between" showDropDown="false" showErrorMessage="false" showInputMessage="false" sqref="F62:F76" type="list">
      <formula1>"Pending,Received,Accepted,Declined"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4" min="2" style="0" width="15"/>
    <col collapsed="false" customWidth="true" hidden="false" outlineLevel="0" max="5" min="5" style="0" width="18"/>
  </cols>
  <sheetData>
    <row r="1" customFormat="false" ht="19.7" hidden="false" customHeight="false" outlineLevel="0" collapsed="false">
      <c r="A1" s="19" t="n">
        <f aca="false">Setup!B4</f>
        <v>0</v>
      </c>
      <c r="B1" s="19"/>
      <c r="C1" s="19"/>
      <c r="D1" s="19"/>
      <c r="E1" s="19"/>
    </row>
    <row r="2" customFormat="false" ht="15" hidden="false" customHeight="false" outlineLevel="0" collapsed="false">
      <c r="A2" s="20" t="str">
        <f aca="false">IF(Setup!B5="","","ABN: "&amp;Setup!B5)</f>
        <v/>
      </c>
    </row>
    <row r="3" customFormat="false" ht="15" hidden="false" customHeight="false" outlineLevel="0" collapsed="false">
      <c r="A3" s="20" t="str">
        <f aca="false">IF(Setup!B6="","","Licence: "&amp;Setup!B6)</f>
        <v/>
      </c>
    </row>
    <row r="4" customFormat="false" ht="15" hidden="false" customHeight="false" outlineLevel="0" collapsed="false">
      <c r="A4" s="20" t="n">
        <f aca="false">Setup!B7</f>
        <v>0</v>
      </c>
    </row>
    <row r="5" customFormat="false" ht="15" hidden="false" customHeight="false" outlineLevel="0" collapsed="false">
      <c r="A5" s="20" t="str">
        <f aca="false">IF(Setup!B8="","","Ph: "&amp;Setup!B8&amp;"  |  "&amp;Setup!B9)</f>
        <v/>
      </c>
    </row>
    <row r="7" customFormat="false" ht="22.05" hidden="false" customHeight="false" outlineLevel="0" collapsed="false">
      <c r="A7" s="21" t="s">
        <v>84</v>
      </c>
      <c r="B7" s="21"/>
      <c r="C7" s="21"/>
      <c r="D7" s="21"/>
      <c r="E7" s="21"/>
    </row>
    <row r="9" customFormat="false" ht="15" hidden="false" customHeight="false" outlineLevel="0" collapsed="false">
      <c r="A9" s="22" t="s">
        <v>85</v>
      </c>
      <c r="B9" s="20" t="n">
        <f aca="false">Estimate!B5</f>
        <v>0</v>
      </c>
      <c r="D9" s="22" t="s">
        <v>86</v>
      </c>
      <c r="E9" s="20" t="n">
        <f aca="false">Estimate!G4</f>
        <v>0</v>
      </c>
    </row>
    <row r="10" customFormat="false" ht="15" hidden="false" customHeight="false" outlineLevel="0" collapsed="false">
      <c r="A10" s="22" t="s">
        <v>87</v>
      </c>
      <c r="B10" s="20" t="n">
        <f aca="false">Estimate!B3</f>
        <v>0</v>
      </c>
      <c r="D10" s="22" t="s">
        <v>46</v>
      </c>
      <c r="E10" s="23" t="n">
        <f aca="false">Estimate!G3</f>
        <v>0</v>
      </c>
    </row>
    <row r="11" customFormat="false" ht="15" hidden="false" customHeight="false" outlineLevel="0" collapsed="false">
      <c r="A11" s="22" t="s">
        <v>5</v>
      </c>
      <c r="B11" s="20" t="n">
        <f aca="false">Estimate!B4</f>
        <v>0</v>
      </c>
      <c r="D11" s="22" t="s">
        <v>88</v>
      </c>
      <c r="E11" s="20" t="s">
        <v>89</v>
      </c>
    </row>
    <row r="13" customFormat="false" ht="15" hidden="false" customHeight="false" outlineLevel="0" collapsed="false">
      <c r="A13" s="24" t="s">
        <v>90</v>
      </c>
      <c r="B13" s="24"/>
      <c r="C13" s="24"/>
      <c r="D13" s="24"/>
      <c r="E13" s="24"/>
    </row>
    <row r="14" customFormat="false" ht="15" hidden="false" customHeight="false" outlineLevel="0" collapsed="false">
      <c r="A14" s="9" t="s">
        <v>54</v>
      </c>
      <c r="B14" s="9"/>
      <c r="C14" s="9"/>
      <c r="D14" s="9"/>
      <c r="E14" s="9" t="s">
        <v>91</v>
      </c>
    </row>
    <row r="15" customFormat="false" ht="15" hidden="false" customHeight="false" outlineLevel="0" collapsed="false">
      <c r="A15" s="25" t="s">
        <v>92</v>
      </c>
      <c r="B15" s="25"/>
      <c r="C15" s="25"/>
      <c r="D15" s="25"/>
      <c r="E15" s="26" t="n">
        <f aca="false">Estimate!F29*(1+Setup!B16)</f>
        <v>0</v>
      </c>
    </row>
    <row r="16" customFormat="false" ht="15" hidden="false" customHeight="false" outlineLevel="0" collapsed="false">
      <c r="A16" s="25" t="s">
        <v>93</v>
      </c>
      <c r="B16" s="25"/>
      <c r="C16" s="25"/>
      <c r="D16" s="25"/>
      <c r="E16" s="26" t="n">
        <f aca="false">Estimate!F58*(1+Setup!B16)</f>
        <v>0</v>
      </c>
    </row>
    <row r="17" customFormat="false" ht="15" hidden="false" customHeight="false" outlineLevel="0" collapsed="false">
      <c r="A17" s="25" t="s">
        <v>94</v>
      </c>
      <c r="B17" s="25"/>
      <c r="C17" s="25"/>
      <c r="D17" s="25"/>
      <c r="E17" s="26" t="n">
        <f aca="false">Estimate!E77*(1+Setup!B16)</f>
        <v>0</v>
      </c>
    </row>
    <row r="18" customFormat="false" ht="15" hidden="false" customHeight="false" outlineLevel="0" collapsed="false">
      <c r="A18" s="25" t="s">
        <v>95</v>
      </c>
      <c r="B18" s="25"/>
      <c r="C18" s="25"/>
      <c r="D18" s="25"/>
      <c r="E18" s="26" t="n">
        <f aca="false">Estimate!F87*(1+Setup!B16)</f>
        <v>0</v>
      </c>
    </row>
    <row r="20" customFormat="false" ht="15" hidden="false" customHeight="false" outlineLevel="0" collapsed="false">
      <c r="A20" s="27" t="s">
        <v>96</v>
      </c>
      <c r="B20" s="27"/>
      <c r="C20" s="27"/>
      <c r="D20" s="27"/>
      <c r="E20" s="28" t="n">
        <f aca="false">Estimate!F93</f>
        <v>0</v>
      </c>
    </row>
    <row r="21" customFormat="false" ht="15" hidden="false" customHeight="false" outlineLevel="0" collapsed="false">
      <c r="A21" s="27" t="s">
        <v>97</v>
      </c>
      <c r="B21" s="27"/>
      <c r="C21" s="27"/>
      <c r="D21" s="27"/>
      <c r="E21" s="28" t="n">
        <f aca="false">Estimate!F94</f>
        <v>0</v>
      </c>
    </row>
    <row r="22" customFormat="false" ht="27.75" hidden="false" customHeight="true" outlineLevel="0" collapsed="false">
      <c r="A22" s="29" t="s">
        <v>98</v>
      </c>
      <c r="B22" s="29"/>
      <c r="C22" s="29"/>
      <c r="D22" s="29"/>
      <c r="E22" s="30" t="n">
        <f aca="false">Estimate!F96</f>
        <v>0</v>
      </c>
    </row>
    <row r="24" customFormat="false" ht="15" hidden="false" customHeight="false" outlineLevel="0" collapsed="false">
      <c r="A24" s="31" t="s">
        <v>99</v>
      </c>
    </row>
    <row r="25" customFormat="false" ht="15" hidden="false" customHeight="false" outlineLevel="0" collapsed="false">
      <c r="A25" s="32" t="s">
        <v>100</v>
      </c>
      <c r="B25" s="32"/>
      <c r="C25" s="32"/>
      <c r="D25" s="32"/>
      <c r="E25" s="32"/>
    </row>
    <row r="26" customFormat="false" ht="15" hidden="false" customHeight="false" outlineLevel="0" collapsed="false">
      <c r="A26" s="32" t="s">
        <v>101</v>
      </c>
      <c r="B26" s="32"/>
      <c r="C26" s="32"/>
      <c r="D26" s="32"/>
      <c r="E26" s="32"/>
    </row>
    <row r="27" customFormat="false" ht="15" hidden="false" customHeight="false" outlineLevel="0" collapsed="false">
      <c r="A27" s="32" t="s">
        <v>102</v>
      </c>
      <c r="B27" s="32"/>
      <c r="C27" s="32"/>
      <c r="D27" s="32"/>
      <c r="E27" s="32"/>
    </row>
    <row r="28" customFormat="false" ht="15" hidden="false" customHeight="false" outlineLevel="0" collapsed="false">
      <c r="A28" s="32" t="s">
        <v>103</v>
      </c>
      <c r="B28" s="32"/>
      <c r="C28" s="32"/>
      <c r="D28" s="32"/>
      <c r="E28" s="32"/>
    </row>
    <row r="29" customFormat="false" ht="15" hidden="false" customHeight="false" outlineLevel="0" collapsed="false">
      <c r="A29" s="32" t="s">
        <v>104</v>
      </c>
      <c r="B29" s="32"/>
      <c r="C29" s="32"/>
      <c r="D29" s="32"/>
      <c r="E29" s="32"/>
    </row>
    <row r="32" customFormat="false" ht="15" hidden="false" customHeight="false" outlineLevel="0" collapsed="false">
      <c r="A32" s="31" t="s">
        <v>105</v>
      </c>
    </row>
    <row r="34" customFormat="false" ht="15" hidden="false" customHeight="false" outlineLevel="0" collapsed="false">
      <c r="A34" s="33" t="s">
        <v>106</v>
      </c>
      <c r="B34" s="33"/>
      <c r="C34" s="33"/>
      <c r="D34" s="33"/>
      <c r="E34" s="33"/>
    </row>
    <row r="36" customFormat="false" ht="15" hidden="false" customHeight="false" outlineLevel="0" collapsed="false">
      <c r="A36" s="20" t="s">
        <v>107</v>
      </c>
    </row>
  </sheetData>
  <mergeCells count="16">
    <mergeCell ref="A1:E1"/>
    <mergeCell ref="A7:E7"/>
    <mergeCell ref="A13:E13"/>
    <mergeCell ref="A15:D15"/>
    <mergeCell ref="A16:D16"/>
    <mergeCell ref="A17:D17"/>
    <mergeCell ref="A18:D18"/>
    <mergeCell ref="A20:D20"/>
    <mergeCell ref="A21:D21"/>
    <mergeCell ref="A22:D22"/>
    <mergeCell ref="A25:E25"/>
    <mergeCell ref="A26:E26"/>
    <mergeCell ref="A27:E27"/>
    <mergeCell ref="A28:E28"/>
    <mergeCell ref="A29:E29"/>
    <mergeCell ref="A34:E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5"/>
  </cols>
  <sheetData>
    <row r="1" customFormat="false" ht="31.5" hidden="false" customHeight="true" outlineLevel="0" collapsed="false">
      <c r="A1" s="34" t="s">
        <v>108</v>
      </c>
      <c r="B1" s="34"/>
    </row>
    <row r="3" customFormat="false" ht="15" hidden="false" customHeight="false" outlineLevel="0" collapsed="false">
      <c r="A3" s="35" t="s">
        <v>109</v>
      </c>
    </row>
    <row r="4" customFormat="false" ht="15" hidden="false" customHeight="false" outlineLevel="0" collapsed="false">
      <c r="A4" s="35" t="s">
        <v>110</v>
      </c>
      <c r="B4" s="20" t="s">
        <v>111</v>
      </c>
    </row>
    <row r="5" customFormat="false" ht="15" hidden="false" customHeight="false" outlineLevel="0" collapsed="false">
      <c r="A5" s="35" t="s">
        <v>112</v>
      </c>
      <c r="B5" s="20" t="s">
        <v>113</v>
      </c>
    </row>
    <row r="6" customFormat="false" ht="15" hidden="false" customHeight="false" outlineLevel="0" collapsed="false">
      <c r="A6" s="35" t="s">
        <v>114</v>
      </c>
      <c r="B6" s="20" t="s">
        <v>115</v>
      </c>
    </row>
    <row r="7" customFormat="false" ht="15" hidden="false" customHeight="false" outlineLevel="0" collapsed="false">
      <c r="A7" s="35" t="s">
        <v>116</v>
      </c>
      <c r="B7" s="20" t="s">
        <v>117</v>
      </c>
    </row>
    <row r="8" customFormat="false" ht="15" hidden="false" customHeight="false" outlineLevel="0" collapsed="false">
      <c r="A8" s="35" t="s">
        <v>118</v>
      </c>
      <c r="B8" s="20" t="s">
        <v>119</v>
      </c>
    </row>
    <row r="9" customFormat="false" ht="15" hidden="false" customHeight="false" outlineLevel="0" collapsed="false">
      <c r="A9" s="35" t="s">
        <v>120</v>
      </c>
      <c r="B9" s="20" t="s">
        <v>121</v>
      </c>
    </row>
    <row r="10" customFormat="false" ht="15" hidden="false" customHeight="false" outlineLevel="0" collapsed="false">
      <c r="A10" s="35" t="s">
        <v>122</v>
      </c>
      <c r="B10" s="20" t="s">
        <v>123</v>
      </c>
    </row>
    <row r="12" customFormat="false" ht="15" hidden="false" customHeight="false" outlineLevel="0" collapsed="false">
      <c r="A12" s="35" t="s">
        <v>124</v>
      </c>
    </row>
    <row r="13" customFormat="false" ht="15" hidden="false" customHeight="false" outlineLevel="0" collapsed="false">
      <c r="A13" s="35" t="s">
        <v>125</v>
      </c>
      <c r="B13" s="20" t="s">
        <v>126</v>
      </c>
    </row>
    <row r="14" customFormat="false" ht="15" hidden="false" customHeight="false" outlineLevel="0" collapsed="false">
      <c r="A14" s="35" t="s">
        <v>127</v>
      </c>
      <c r="B14" s="20" t="s">
        <v>128</v>
      </c>
    </row>
    <row r="15" customFormat="false" ht="15" hidden="false" customHeight="false" outlineLevel="0" collapsed="false">
      <c r="A15" s="35" t="s">
        <v>129</v>
      </c>
      <c r="B15" s="20" t="s">
        <v>130</v>
      </c>
    </row>
    <row r="17" customFormat="false" ht="15" hidden="false" customHeight="false" outlineLevel="0" collapsed="false">
      <c r="A17" s="35" t="s">
        <v>131</v>
      </c>
      <c r="B17" s="20" t="s">
        <v>132</v>
      </c>
    </row>
    <row r="18" customFormat="false" ht="15" hidden="false" customHeight="false" outlineLevel="0" collapsed="false">
      <c r="B18" s="20" t="s">
        <v>133</v>
      </c>
    </row>
    <row r="20" customFormat="false" ht="15" hidden="false" customHeight="false" outlineLevel="0" collapsed="false">
      <c r="A20" s="35" t="s">
        <v>134</v>
      </c>
    </row>
    <row r="21" customFormat="false" ht="15" hidden="false" customHeight="false" outlineLevel="0" collapsed="false">
      <c r="B21" s="20" t="s">
        <v>135</v>
      </c>
    </row>
    <row r="22" customFormat="false" ht="15" hidden="false" customHeight="false" outlineLevel="0" collapsed="false">
      <c r="B22" s="20" t="s">
        <v>136</v>
      </c>
    </row>
    <row r="23" customFormat="false" ht="15" hidden="false" customHeight="false" outlineLevel="0" collapsed="false">
      <c r="B23" s="20" t="s">
        <v>137</v>
      </c>
    </row>
    <row r="24" customFormat="false" ht="15" hidden="false" customHeight="false" outlineLevel="0" collapsed="false">
      <c r="B24" s="20" t="s">
        <v>138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2026-01-26T08:16:42Z</dcterms:created>
  <dc:creator>openpyxl</dc:creator>
  <dc:description/>
  <dc:language>en-US</dc:language>
  <cp:lastModifiedBy/>
  <dcterms:modified xsi:type="dcterms:W3CDTF">2026-01-26T08:16:42Z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