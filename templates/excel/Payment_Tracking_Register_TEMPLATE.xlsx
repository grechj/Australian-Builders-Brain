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Payments" sheetId="2" state="visible" r:id="rId4"/>
    <sheet name="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<sst xmlns="http://schemas.openxmlformats.org/spreadsheetml/2006/main" count="39" uniqueCount="39">
  <si>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</si>
  <si>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</si>
  <si>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</si>
  <si>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</si>
  <si>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</si>
  <si>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</si>
  <si>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</si>
  <si>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</si>
  <si>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</si>
  <si>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</si>
  <si>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</si>
  <si>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</si>
  <si>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</si>
  <si>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</si>
  <si>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</si>
  <si>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</si>
  <si>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PAYMENT TRACKING REGISTER</t>
  </si>
  <si>
    <t xml:space="preserve">Project:</t>
  </si>
  <si>
    <t xml:space="preserve">Invoice No.</t>
  </si>
  <si>
    <t xml:space="preserve">Date Issued</t>
  </si>
  <si>
    <t xml:space="preserve">Description</t>
  </si>
  <si>
    <t xml:space="preserve">Amount (excl GST)</t>
  </si>
  <si>
    <t xml:space="preserve">GST</t>
  </si>
  <si>
    <t xml:space="preserve">Total (incl GST)</t>
  </si>
  <si>
    <t xml:space="preserve">Date Due</t>
  </si>
  <si>
    <t xml:space="preserve">Date Paid</t>
  </si>
  <si>
    <t xml:space="preserve">Days Outstanding</t>
  </si>
  <si>
    <t xml:space="preserve">Status</t>
  </si>
  <si>
    <t xml:space="preserve">TOTALS:</t>
  </si>
  <si>
    <t xml:space="preserve">Total Paid:</t>
  </si>
  <si>
    <t xml:space="preserve">Total Outstanding:</t>
  </si>
  <si>
    <t xml:space="preserve">HOW TO USE THIS PAYMENT TRACKING REGISTER</t>
  </si>
  <si>
    <t xml:space="preserve">QUICK START</t>
  </si>
  <si>
    <t xml:space="preserve">1. Setup</t>
  </si>
  <si>
    <t xml:space="preserve">Enter project details.</t>
  </si>
  <si>
    <t xml:space="preserve">2. Log</t>
  </si>
  <si>
    <t xml:space="preserve">Enter each invoice with amount and due date.</t>
  </si>
  <si>
    <t xml:space="preserve">3. Track</t>
  </si>
  <si>
    <t xml:space="preserve">Update payment dates and status as payments are received.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</si>
</sst>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  <fill>
      <patternFill patternType="solid">
        <fgColor rgb="FFFFCCCB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B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6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9" min="7" style="1" width="14"/>
    <col collapsed="false" customWidth="true" hidden="false" outlineLevel="0" max="10" min="10" style="1" width="12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4" t="s">
        <v>17</v>
      </c>
      <c r="B2" s="5" t="n">
        <f aca="false">Setup!B12</f>
        <v>0</v>
      </c>
    </row>
    <row r="4" customFormat="false" ht="28.35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</row>
    <row r="5" customFormat="false" ht="15" hidden="false" customHeight="false" outlineLevel="0" collapsed="false">
      <c r="A5" s="5"/>
      <c r="B5" s="5"/>
      <c r="C5" s="5"/>
      <c r="D5" s="5"/>
      <c r="E5" s="7" t="str">
        <f aca="false">IF(D5="","",D5*0.1)</f>
        <v/>
      </c>
      <c r="F5" s="7" t="str">
        <f aca="false">IF(D5="","",D5*1.1)</f>
        <v/>
      </c>
      <c r="G5" s="5"/>
      <c r="H5" s="5"/>
      <c r="I5" s="7" t="str">
        <f aca="true">IF(OR(G5="",H5&lt;&gt;""),"",TODAY()-G5)</f>
        <v/>
      </c>
      <c r="J5" s="5"/>
    </row>
    <row r="6" customFormat="false" ht="15" hidden="false" customHeight="false" outlineLevel="0" collapsed="false">
      <c r="A6" s="5"/>
      <c r="B6" s="5"/>
      <c r="C6" s="5"/>
      <c r="D6" s="5"/>
      <c r="E6" s="7" t="str">
        <f aca="false">IF(D6="","",D6*0.1)</f>
        <v/>
      </c>
      <c r="F6" s="7" t="str">
        <f aca="false">IF(D6="","",D6*1.1)</f>
        <v/>
      </c>
      <c r="G6" s="5"/>
      <c r="H6" s="5"/>
      <c r="I6" s="7" t="str">
        <f aca="true">IF(OR(G6="",H6&lt;&gt;""),"",TODAY()-G6)</f>
        <v/>
      </c>
      <c r="J6" s="5"/>
    </row>
    <row r="7" customFormat="false" ht="15" hidden="false" customHeight="false" outlineLevel="0" collapsed="false">
      <c r="A7" s="5"/>
      <c r="B7" s="5"/>
      <c r="C7" s="5"/>
      <c r="D7" s="5"/>
      <c r="E7" s="7" t="str">
        <f aca="false">IF(D7="","",D7*0.1)</f>
        <v/>
      </c>
      <c r="F7" s="7" t="str">
        <f aca="false">IF(D7="","",D7*1.1)</f>
        <v/>
      </c>
      <c r="G7" s="5"/>
      <c r="H7" s="5"/>
      <c r="I7" s="7" t="str">
        <f aca="true">IF(OR(G7="",H7&lt;&gt;""),"",TODAY()-G7)</f>
        <v/>
      </c>
      <c r="J7" s="5"/>
    </row>
    <row r="8" customFormat="false" ht="15" hidden="false" customHeight="false" outlineLevel="0" collapsed="false">
      <c r="A8" s="5"/>
      <c r="B8" s="5"/>
      <c r="C8" s="5"/>
      <c r="D8" s="5"/>
      <c r="E8" s="7" t="str">
        <f aca="false">IF(D8="","",D8*0.1)</f>
        <v/>
      </c>
      <c r="F8" s="7" t="str">
        <f aca="false">IF(D8="","",D8*1.1)</f>
        <v/>
      </c>
      <c r="G8" s="5"/>
      <c r="H8" s="5"/>
      <c r="I8" s="7" t="str">
        <f aca="true">IF(OR(G8="",H8&lt;&gt;""),"",TODAY()-G8)</f>
        <v/>
      </c>
      <c r="J8" s="5"/>
    </row>
    <row r="9" customFormat="false" ht="15" hidden="false" customHeight="false" outlineLevel="0" collapsed="false">
      <c r="A9" s="5"/>
      <c r="B9" s="5"/>
      <c r="C9" s="5"/>
      <c r="D9" s="5"/>
      <c r="E9" s="7" t="str">
        <f aca="false">IF(D9="","",D9*0.1)</f>
        <v/>
      </c>
      <c r="F9" s="7" t="str">
        <f aca="false">IF(D9="","",D9*1.1)</f>
        <v/>
      </c>
      <c r="G9" s="5"/>
      <c r="H9" s="5"/>
      <c r="I9" s="7" t="str">
        <f aca="true">IF(OR(G9="",H9&lt;&gt;""),"",TODAY()-G9)</f>
        <v/>
      </c>
      <c r="J9" s="5"/>
    </row>
    <row r="10" customFormat="false" ht="15" hidden="false" customHeight="false" outlineLevel="0" collapsed="false">
      <c r="A10" s="5"/>
      <c r="B10" s="5"/>
      <c r="C10" s="5"/>
      <c r="D10" s="5"/>
      <c r="E10" s="7" t="str">
        <f aca="false">IF(D10="","",D10*0.1)</f>
        <v/>
      </c>
      <c r="F10" s="7" t="str">
        <f aca="false">IF(D10="","",D10*1.1)</f>
        <v/>
      </c>
      <c r="G10" s="5"/>
      <c r="H10" s="5"/>
      <c r="I10" s="7" t="str">
        <f aca="true">IF(OR(G10="",H10&lt;&gt;""),"",TODAY()-G10)</f>
        <v/>
      </c>
      <c r="J10" s="5"/>
    </row>
    <row r="11" customFormat="false" ht="15" hidden="false" customHeight="false" outlineLevel="0" collapsed="false">
      <c r="A11" s="5"/>
      <c r="B11" s="5"/>
      <c r="C11" s="5"/>
      <c r="D11" s="5"/>
      <c r="E11" s="7" t="str">
        <f aca="false">IF(D11="","",D11*0.1)</f>
        <v/>
      </c>
      <c r="F11" s="7" t="str">
        <f aca="false">IF(D11="","",D11*1.1)</f>
        <v/>
      </c>
      <c r="G11" s="5"/>
      <c r="H11" s="5"/>
      <c r="I11" s="7" t="str">
        <f aca="true">IF(OR(G11="",H11&lt;&gt;""),"",TODAY()-G11)</f>
        <v/>
      </c>
      <c r="J11" s="5"/>
    </row>
    <row r="12" customFormat="false" ht="15" hidden="false" customHeight="false" outlineLevel="0" collapsed="false">
      <c r="A12" s="5"/>
      <c r="B12" s="5"/>
      <c r="C12" s="5"/>
      <c r="D12" s="5"/>
      <c r="E12" s="7" t="str">
        <f aca="false">IF(D12="","",D12*0.1)</f>
        <v/>
      </c>
      <c r="F12" s="7" t="str">
        <f aca="false">IF(D12="","",D12*1.1)</f>
        <v/>
      </c>
      <c r="G12" s="5"/>
      <c r="H12" s="5"/>
      <c r="I12" s="7" t="str">
        <f aca="true">IF(OR(G12="",H12&lt;&gt;""),"",TODAY()-G12)</f>
        <v/>
      </c>
      <c r="J12" s="5"/>
    </row>
    <row r="13" customFormat="false" ht="15" hidden="false" customHeight="false" outlineLevel="0" collapsed="false">
      <c r="A13" s="5"/>
      <c r="B13" s="5"/>
      <c r="C13" s="5"/>
      <c r="D13" s="5"/>
      <c r="E13" s="7" t="str">
        <f aca="false">IF(D13="","",D13*0.1)</f>
        <v/>
      </c>
      <c r="F13" s="7" t="str">
        <f aca="false">IF(D13="","",D13*1.1)</f>
        <v/>
      </c>
      <c r="G13" s="5"/>
      <c r="H13" s="5"/>
      <c r="I13" s="7" t="str">
        <f aca="true">IF(OR(G13="",H13&lt;&gt;""),"",TODAY()-G13)</f>
        <v/>
      </c>
      <c r="J13" s="5"/>
    </row>
    <row r="14" customFormat="false" ht="15" hidden="false" customHeight="false" outlineLevel="0" collapsed="false">
      <c r="A14" s="5"/>
      <c r="B14" s="5"/>
      <c r="C14" s="5"/>
      <c r="D14" s="5"/>
      <c r="E14" s="7" t="str">
        <f aca="false">IF(D14="","",D14*0.1)</f>
        <v/>
      </c>
      <c r="F14" s="7" t="str">
        <f aca="false">IF(D14="","",D14*1.1)</f>
        <v/>
      </c>
      <c r="G14" s="5"/>
      <c r="H14" s="5"/>
      <c r="I14" s="7" t="str">
        <f aca="true">IF(OR(G14="",H14&lt;&gt;""),"",TODAY()-G14)</f>
        <v/>
      </c>
      <c r="J14" s="5"/>
    </row>
    <row r="15" customFormat="false" ht="15" hidden="false" customHeight="false" outlineLevel="0" collapsed="false">
      <c r="A15" s="5"/>
      <c r="B15" s="5"/>
      <c r="C15" s="5"/>
      <c r="D15" s="5"/>
      <c r="E15" s="7" t="str">
        <f aca="false">IF(D15="","",D15*0.1)</f>
        <v/>
      </c>
      <c r="F15" s="7" t="str">
        <f aca="false">IF(D15="","",D15*1.1)</f>
        <v/>
      </c>
      <c r="G15" s="5"/>
      <c r="H15" s="5"/>
      <c r="I15" s="7" t="str">
        <f aca="true">IF(OR(G15="",H15&lt;&gt;""),"",TODAY()-G15)</f>
        <v/>
      </c>
      <c r="J15" s="5"/>
    </row>
    <row r="16" customFormat="false" ht="15" hidden="false" customHeight="false" outlineLevel="0" collapsed="false">
      <c r="A16" s="5"/>
      <c r="B16" s="5"/>
      <c r="C16" s="5"/>
      <c r="D16" s="5"/>
      <c r="E16" s="7" t="str">
        <f aca="false">IF(D16="","",D16*0.1)</f>
        <v/>
      </c>
      <c r="F16" s="7" t="str">
        <f aca="false">IF(D16="","",D16*1.1)</f>
        <v/>
      </c>
      <c r="G16" s="5"/>
      <c r="H16" s="5"/>
      <c r="I16" s="7" t="str">
        <f aca="true">IF(OR(G16="",H16&lt;&gt;""),"",TODAY()-G16)</f>
        <v/>
      </c>
      <c r="J16" s="5"/>
    </row>
    <row r="17" customFormat="false" ht="15" hidden="false" customHeight="false" outlineLevel="0" collapsed="false">
      <c r="A17" s="5"/>
      <c r="B17" s="5"/>
      <c r="C17" s="5"/>
      <c r="D17" s="5"/>
      <c r="E17" s="7" t="str">
        <f aca="false">IF(D17="","",D17*0.1)</f>
        <v/>
      </c>
      <c r="F17" s="7" t="str">
        <f aca="false">IF(D17="","",D17*1.1)</f>
        <v/>
      </c>
      <c r="G17" s="5"/>
      <c r="H17" s="5"/>
      <c r="I17" s="7" t="str">
        <f aca="true">IF(OR(G17="",H17&lt;&gt;""),"",TODAY()-G17)</f>
        <v/>
      </c>
      <c r="J17" s="5"/>
    </row>
    <row r="18" customFormat="false" ht="15" hidden="false" customHeight="false" outlineLevel="0" collapsed="false">
      <c r="A18" s="5"/>
      <c r="B18" s="5"/>
      <c r="C18" s="5"/>
      <c r="D18" s="5"/>
      <c r="E18" s="7" t="str">
        <f aca="false">IF(D18="","",D18*0.1)</f>
        <v/>
      </c>
      <c r="F18" s="7" t="str">
        <f aca="false">IF(D18="","",D18*1.1)</f>
        <v/>
      </c>
      <c r="G18" s="5"/>
      <c r="H18" s="5"/>
      <c r="I18" s="7" t="str">
        <f aca="true">IF(OR(G18="",H18&lt;&gt;""),"",TODAY()-G18)</f>
        <v/>
      </c>
      <c r="J18" s="5"/>
    </row>
    <row r="19" customFormat="false" ht="15" hidden="false" customHeight="false" outlineLevel="0" collapsed="false">
      <c r="A19" s="5"/>
      <c r="B19" s="5"/>
      <c r="C19" s="5"/>
      <c r="D19" s="5"/>
      <c r="E19" s="7" t="str">
        <f aca="false">IF(D19="","",D19*0.1)</f>
        <v/>
      </c>
      <c r="F19" s="7" t="str">
        <f aca="false">IF(D19="","",D19*1.1)</f>
        <v/>
      </c>
      <c r="G19" s="5"/>
      <c r="H19" s="5"/>
      <c r="I19" s="7" t="str">
        <f aca="true">IF(OR(G19="",H19&lt;&gt;""),"",TODAY()-G19)</f>
        <v/>
      </c>
      <c r="J19" s="5"/>
    </row>
    <row r="20" customFormat="false" ht="15" hidden="false" customHeight="false" outlineLevel="0" collapsed="false">
      <c r="A20" s="5"/>
      <c r="B20" s="5"/>
      <c r="C20" s="5"/>
      <c r="D20" s="5"/>
      <c r="E20" s="7" t="str">
        <f aca="false">IF(D20="","",D20*0.1)</f>
        <v/>
      </c>
      <c r="F20" s="7" t="str">
        <f aca="false">IF(D20="","",D20*1.1)</f>
        <v/>
      </c>
      <c r="G20" s="5"/>
      <c r="H20" s="5"/>
      <c r="I20" s="7" t="str">
        <f aca="true">IF(OR(G20="",H20&lt;&gt;""),"",TODAY()-G20)</f>
        <v/>
      </c>
      <c r="J20" s="5"/>
    </row>
    <row r="21" customFormat="false" ht="15" hidden="false" customHeight="false" outlineLevel="0" collapsed="false">
      <c r="A21" s="5"/>
      <c r="B21" s="5"/>
      <c r="C21" s="5"/>
      <c r="D21" s="5"/>
      <c r="E21" s="7" t="str">
        <f aca="false">IF(D21="","",D21*0.1)</f>
        <v/>
      </c>
      <c r="F21" s="7" t="str">
        <f aca="false">IF(D21="","",D21*1.1)</f>
        <v/>
      </c>
      <c r="G21" s="5"/>
      <c r="H21" s="5"/>
      <c r="I21" s="7" t="str">
        <f aca="true">IF(OR(G21="",H21&lt;&gt;""),"",TODAY()-G21)</f>
        <v/>
      </c>
      <c r="J21" s="5"/>
    </row>
    <row r="22" customFormat="false" ht="15" hidden="false" customHeight="false" outlineLevel="0" collapsed="false">
      <c r="A22" s="5"/>
      <c r="B22" s="5"/>
      <c r="C22" s="5"/>
      <c r="D22" s="5"/>
      <c r="E22" s="7" t="str">
        <f aca="false">IF(D22="","",D22*0.1)</f>
        <v/>
      </c>
      <c r="F22" s="7" t="str">
        <f aca="false">IF(D22="","",D22*1.1)</f>
        <v/>
      </c>
      <c r="G22" s="5"/>
      <c r="H22" s="5"/>
      <c r="I22" s="7" t="str">
        <f aca="true">IF(OR(G22="",H22&lt;&gt;""),"",TODAY()-G22)</f>
        <v/>
      </c>
      <c r="J22" s="5"/>
    </row>
    <row r="23" customFormat="false" ht="15" hidden="false" customHeight="false" outlineLevel="0" collapsed="false">
      <c r="A23" s="5"/>
      <c r="B23" s="5"/>
      <c r="C23" s="5"/>
      <c r="D23" s="5"/>
      <c r="E23" s="7" t="str">
        <f aca="false">IF(D23="","",D23*0.1)</f>
        <v/>
      </c>
      <c r="F23" s="7" t="str">
        <f aca="false">IF(D23="","",D23*1.1)</f>
        <v/>
      </c>
      <c r="G23" s="5"/>
      <c r="H23" s="5"/>
      <c r="I23" s="7" t="str">
        <f aca="true">IF(OR(G23="",H23&lt;&gt;""),"",TODAY()-G23)</f>
        <v/>
      </c>
      <c r="J23" s="5"/>
    </row>
    <row r="24" customFormat="false" ht="15" hidden="false" customHeight="false" outlineLevel="0" collapsed="false">
      <c r="A24" s="5"/>
      <c r="B24" s="5"/>
      <c r="C24" s="5"/>
      <c r="D24" s="5"/>
      <c r="E24" s="7" t="str">
        <f aca="false">IF(D24="","",D24*0.1)</f>
        <v/>
      </c>
      <c r="F24" s="7" t="str">
        <f aca="false">IF(D24="","",D24*1.1)</f>
        <v/>
      </c>
      <c r="G24" s="5"/>
      <c r="H24" s="5"/>
      <c r="I24" s="7" t="str">
        <f aca="true">IF(OR(G24="",H24&lt;&gt;""),"",TODAY()-G24)</f>
        <v/>
      </c>
      <c r="J24" s="5"/>
    </row>
    <row r="25" customFormat="false" ht="15" hidden="false" customHeight="false" outlineLevel="0" collapsed="false">
      <c r="A25" s="5"/>
      <c r="B25" s="5"/>
      <c r="C25" s="5"/>
      <c r="D25" s="5"/>
      <c r="E25" s="7" t="str">
        <f aca="false">IF(D25="","",D25*0.1)</f>
        <v/>
      </c>
      <c r="F25" s="7" t="str">
        <f aca="false">IF(D25="","",D25*1.1)</f>
        <v/>
      </c>
      <c r="G25" s="5"/>
      <c r="H25" s="5"/>
      <c r="I25" s="7" t="str">
        <f aca="true">IF(OR(G25="",H25&lt;&gt;""),"",TODAY()-G25)</f>
        <v/>
      </c>
      <c r="J25" s="5"/>
    </row>
    <row r="26" customFormat="false" ht="15" hidden="false" customHeight="false" outlineLevel="0" collapsed="false">
      <c r="A26" s="5"/>
      <c r="B26" s="5"/>
      <c r="C26" s="5"/>
      <c r="D26" s="5"/>
      <c r="E26" s="7" t="str">
        <f aca="false">IF(D26="","",D26*0.1)</f>
        <v/>
      </c>
      <c r="F26" s="7" t="str">
        <f aca="false">IF(D26="","",D26*1.1)</f>
        <v/>
      </c>
      <c r="G26" s="5"/>
      <c r="H26" s="5"/>
      <c r="I26" s="7" t="str">
        <f aca="true">IF(OR(G26="",H26&lt;&gt;""),"",TODAY()-G26)</f>
        <v/>
      </c>
      <c r="J26" s="5"/>
    </row>
    <row r="27" customFormat="false" ht="15" hidden="false" customHeight="false" outlineLevel="0" collapsed="false">
      <c r="A27" s="5"/>
      <c r="B27" s="5"/>
      <c r="C27" s="5"/>
      <c r="D27" s="5"/>
      <c r="E27" s="7" t="str">
        <f aca="false">IF(D27="","",D27*0.1)</f>
        <v/>
      </c>
      <c r="F27" s="7" t="str">
        <f aca="false">IF(D27="","",D27*1.1)</f>
        <v/>
      </c>
      <c r="G27" s="5"/>
      <c r="H27" s="5"/>
      <c r="I27" s="7" t="str">
        <f aca="true">IF(OR(G27="",H27&lt;&gt;""),"",TODAY()-G27)</f>
        <v/>
      </c>
      <c r="J27" s="5"/>
    </row>
    <row r="28" customFormat="false" ht="15" hidden="false" customHeight="false" outlineLevel="0" collapsed="false">
      <c r="A28" s="5"/>
      <c r="B28" s="5"/>
      <c r="C28" s="5"/>
      <c r="D28" s="5"/>
      <c r="E28" s="7" t="str">
        <f aca="false">IF(D28="","",D28*0.1)</f>
        <v/>
      </c>
      <c r="F28" s="7" t="str">
        <f aca="false">IF(D28="","",D28*1.1)</f>
        <v/>
      </c>
      <c r="G28" s="5"/>
      <c r="H28" s="5"/>
      <c r="I28" s="7" t="str">
        <f aca="true">IF(OR(G28="",H28&lt;&gt;""),"",TODAY()-G28)</f>
        <v/>
      </c>
      <c r="J28" s="5"/>
    </row>
    <row r="29" customFormat="false" ht="15" hidden="false" customHeight="false" outlineLevel="0" collapsed="false">
      <c r="A29" s="5"/>
      <c r="B29" s="5"/>
      <c r="C29" s="5"/>
      <c r="D29" s="5"/>
      <c r="E29" s="7" t="str">
        <f aca="false">IF(D29="","",D29*0.1)</f>
        <v/>
      </c>
      <c r="F29" s="7" t="str">
        <f aca="false">IF(D29="","",D29*1.1)</f>
        <v/>
      </c>
      <c r="G29" s="5"/>
      <c r="H29" s="5"/>
      <c r="I29" s="7" t="str">
        <f aca="true">IF(OR(G29="",H29&lt;&gt;""),"",TODAY()-G29)</f>
        <v/>
      </c>
      <c r="J29" s="5"/>
    </row>
    <row r="30" customFormat="false" ht="15" hidden="false" customHeight="false" outlineLevel="0" collapsed="false">
      <c r="A30" s="5"/>
      <c r="B30" s="5"/>
      <c r="C30" s="5"/>
      <c r="D30" s="5"/>
      <c r="E30" s="7" t="str">
        <f aca="false">IF(D30="","",D30*0.1)</f>
        <v/>
      </c>
      <c r="F30" s="7" t="str">
        <f aca="false">IF(D30="","",D30*1.1)</f>
        <v/>
      </c>
      <c r="G30" s="5"/>
      <c r="H30" s="5"/>
      <c r="I30" s="7" t="str">
        <f aca="true">IF(OR(G30="",H30&lt;&gt;""),"",TODAY()-G30)</f>
        <v/>
      </c>
      <c r="J30" s="5"/>
    </row>
    <row r="31" customFormat="false" ht="15" hidden="false" customHeight="false" outlineLevel="0" collapsed="false">
      <c r="A31" s="5"/>
      <c r="B31" s="5"/>
      <c r="C31" s="5"/>
      <c r="D31" s="5"/>
      <c r="E31" s="7" t="str">
        <f aca="false">IF(D31="","",D31*0.1)</f>
        <v/>
      </c>
      <c r="F31" s="7" t="str">
        <f aca="false">IF(D31="","",D31*1.1)</f>
        <v/>
      </c>
      <c r="G31" s="5"/>
      <c r="H31" s="5"/>
      <c r="I31" s="7" t="str">
        <f aca="true">IF(OR(G31="",H31&lt;&gt;""),"",TODAY()-G31)</f>
        <v/>
      </c>
      <c r="J31" s="5"/>
    </row>
    <row r="32" customFormat="false" ht="15" hidden="false" customHeight="false" outlineLevel="0" collapsed="false">
      <c r="A32" s="5"/>
      <c r="B32" s="5"/>
      <c r="C32" s="5"/>
      <c r="D32" s="5"/>
      <c r="E32" s="7" t="str">
        <f aca="false">IF(D32="","",D32*0.1)</f>
        <v/>
      </c>
      <c r="F32" s="7" t="str">
        <f aca="false">IF(D32="","",D32*1.1)</f>
        <v/>
      </c>
      <c r="G32" s="5"/>
      <c r="H32" s="5"/>
      <c r="I32" s="7" t="str">
        <f aca="true">IF(OR(G32="",H32&lt;&gt;""),"",TODAY()-G32)</f>
        <v/>
      </c>
      <c r="J32" s="5"/>
    </row>
    <row r="33" customFormat="false" ht="15" hidden="false" customHeight="false" outlineLevel="0" collapsed="false">
      <c r="A33" s="5"/>
      <c r="B33" s="5"/>
      <c r="C33" s="5"/>
      <c r="D33" s="5"/>
      <c r="E33" s="7" t="str">
        <f aca="false">IF(D33="","",D33*0.1)</f>
        <v/>
      </c>
      <c r="F33" s="7" t="str">
        <f aca="false">IF(D33="","",D33*1.1)</f>
        <v/>
      </c>
      <c r="G33" s="5"/>
      <c r="H33" s="5"/>
      <c r="I33" s="7" t="str">
        <f aca="true">IF(OR(G33="",H33&lt;&gt;""),"",TODAY()-G33)</f>
        <v/>
      </c>
      <c r="J33" s="5"/>
    </row>
    <row r="34" customFormat="false" ht="15" hidden="false" customHeight="false" outlineLevel="0" collapsed="false">
      <c r="A34" s="5"/>
      <c r="B34" s="5"/>
      <c r="C34" s="5"/>
      <c r="D34" s="5"/>
      <c r="E34" s="7" t="str">
        <f aca="false">IF(D34="","",D34*0.1)</f>
        <v/>
      </c>
      <c r="F34" s="7" t="str">
        <f aca="false">IF(D34="","",D34*1.1)</f>
        <v/>
      </c>
      <c r="G34" s="5"/>
      <c r="H34" s="5"/>
      <c r="I34" s="7" t="str">
        <f aca="true">IF(OR(G34="",H34&lt;&gt;""),"",TODAY()-G34)</f>
        <v/>
      </c>
      <c r="J34" s="5"/>
    </row>
    <row r="36" customFormat="false" ht="15" hidden="false" customHeight="false" outlineLevel="0" collapsed="false">
      <c r="C36" s="4" t="s">
        <v>28</v>
      </c>
      <c r="D36" s="8" t="n">
        <f aca="false">SUM(D5:D35)</f>
        <v>0</v>
      </c>
      <c r="F36" s="8" t="n">
        <f aca="false">SUM(F5:F35)</f>
        <v>0</v>
      </c>
    </row>
    <row r="38" customFormat="false" ht="15" hidden="false" customHeight="false" outlineLevel="0" collapsed="false">
      <c r="C38" s="4" t="s">
        <v>29</v>
      </c>
      <c r="F38" s="7" t="n">
        <f aca="false">SUMIF(J5:J35,"Paid",F5:F35)</f>
        <v>0</v>
      </c>
    </row>
    <row r="39" customFormat="false" ht="15" hidden="false" customHeight="false" outlineLevel="0" collapsed="false">
      <c r="C39" s="4" t="s">
        <v>30</v>
      </c>
      <c r="F39" s="9" t="n">
        <f aca="false">F36-F38</f>
        <v>0</v>
      </c>
    </row>
  </sheetData>
  <mergeCells count="1">
    <mergeCell ref="A1:J1"/>
  </mergeCells>
  <dataValidations count="1">
    <dataValidation allowBlank="false" errorStyle="stop" operator="between" showDropDown="false" showErrorMessage="false" showInputMessage="false" sqref="J5:J34" type="list">
      <formula1>"Issued,Overdue,Paid,Disputed"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31</v>
      </c>
      <c r="B1" s="2"/>
    </row>
    <row r="3" customFormat="false" ht="15" hidden="false" customHeight="false" outlineLevel="0" collapsed="false">
      <c r="A3" s="10" t="s">
        <v>32</v>
      </c>
    </row>
    <row r="4" customFormat="false" ht="15" hidden="false" customHeight="false" outlineLevel="0" collapsed="false">
      <c r="A4" s="10" t="s">
        <v>33</v>
      </c>
      <c r="B4" s="3" t="s">
        <v>34</v>
      </c>
    </row>
    <row r="5" customFormat="false" ht="15" hidden="false" customHeight="false" outlineLevel="0" collapsed="false">
      <c r="A5" s="10" t="s">
        <v>35</v>
      </c>
      <c r="B5" s="3" t="s">
        <v>36</v>
      </c>
    </row>
    <row r="6" customFormat="false" ht="15" hidden="false" customHeight="false" outlineLevel="0" collapsed="false">
      <c r="A6" s="10" t="s">
        <v>37</v>
      </c>
      <c r="B6" s="3" t="s">
        <v>38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