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Claims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<sst xmlns="http://schemas.openxmlformats.org/spreadsheetml/2006/main" count="48" uniqueCount="48">
  <si>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</si>
  <si>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</si>
  <si>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</si>
  <si>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</si>
  <si>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</si>
  <si>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</si>
  <si>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</si>
  <si>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</si>
  <si>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</si>
  <si>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</si>
  <si>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</si>
  <si>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</si>
  <si>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Contract Number:</t>
  </si>
  <si>
    <t xml:space="preserve">Contract Sum (excl GST):</t>
  </si>
  <si>
    <t xml:space="preserve">Retention %:</t>
  </si>
  <si>
    <t xml:space="preserve">Total Approved Variations (excl GST):</t>
  </si>
  <si>
    <t xml:space="preserve">PROGRESS CLAIM CALCULATOR</t>
  </si>
  <si>
    <t xml:space="preserve">Project:</t>
  </si>
  <si>
    <t xml:space="preserve">Contract Sum:</t>
  </si>
  <si>
    <t xml:space="preserve">Stage</t>
  </si>
  <si>
    <t xml:space="preserve">Contract Value ($)</t>
  </si>
  <si>
    <t xml:space="preserve">% Complete</t>
  </si>
  <si>
    <t xml:space="preserve">Value Completed ($)</t>
  </si>
  <si>
    <t xml:space="preserve">Previously Claimed ($)</t>
  </si>
  <si>
    <t xml:space="preserve">This Claim ($)</t>
  </si>
  <si>
    <t xml:space="preserve">Deposit</t>
  </si>
  <si>
    <t xml:space="preserve">Base / Slab</t>
  </si>
  <si>
    <t xml:space="preserve">Frame</t>
  </si>
  <si>
    <t xml:space="preserve">Lock-Up</t>
  </si>
  <si>
    <t xml:space="preserve">Fixing</t>
  </si>
  <si>
    <t xml:space="preserve">Practical Completion</t>
  </si>
  <si>
    <t xml:space="preserve">Approved Variations</t>
  </si>
  <si>
    <t xml:space="preserve">TOTALS</t>
  </si>
  <si>
    <t xml:space="preserve">Subtotal This Claim (excl GST):</t>
  </si>
  <si>
    <t xml:space="preserve">Less Retention:</t>
  </si>
  <si>
    <t xml:space="preserve">Net Claim (excl GST):</t>
  </si>
  <si>
    <t xml:space="preserve">GST (10%):</t>
  </si>
  <si>
    <t xml:space="preserve">TOTAL CLAIM (incl GST):</t>
  </si>
  <si>
    <t xml:space="preserve">HOW TO USE THIS PROGRESS CLAIM CALCULATOR</t>
  </si>
  <si>
    <t xml:space="preserve">QUICK START</t>
  </si>
  <si>
    <t xml:space="preserve">1. Setup</t>
  </si>
  <si>
    <t xml:space="preserve">Enter contract details including retention %.</t>
  </si>
  <si>
    <t xml:space="preserve">2. Stages</t>
  </si>
  <si>
    <t xml:space="preserve">Enter contract value per stage.</t>
  </si>
  <si>
    <t xml:space="preserve">3. Progress</t>
  </si>
  <si>
    <t xml:space="preserve">Update % complete and previous claims.</t>
  </si>
  <si>
    <t xml:space="preserve">4. Calculate</t>
  </si>
  <si>
    <t xml:space="preserve">This Claim amount auto-calculates.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</si>
</sst>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23.8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6" min="4" style="1" width="18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4" t="s">
        <v>17</v>
      </c>
      <c r="B2" s="5" t="n">
        <f aca="false">Setup!B12</f>
        <v>0</v>
      </c>
      <c r="D2" s="4" t="s">
        <v>18</v>
      </c>
      <c r="E2" s="5" t="n">
        <f aca="false">Setup!B16</f>
        <v>0</v>
      </c>
    </row>
    <row r="4" customFormat="false" ht="28.35" hidden="false" customHeight="fals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</row>
    <row r="5" customFormat="false" ht="15" hidden="false" customHeight="false" outlineLevel="0" collapsed="false">
      <c r="A5" s="4" t="s">
        <v>25</v>
      </c>
      <c r="B5" s="5"/>
      <c r="C5" s="5"/>
      <c r="D5" s="7" t="str">
        <f aca="false">IF(OR(B5="",C5=""),"",B5*C5)</f>
        <v/>
      </c>
      <c r="E5" s="5"/>
      <c r="F5" s="7" t="str">
        <f aca="false">IF(D5="","",D5-E5)</f>
        <v/>
      </c>
    </row>
    <row r="6" customFormat="false" ht="15" hidden="false" customHeight="false" outlineLevel="0" collapsed="false">
      <c r="A6" s="4" t="s">
        <v>26</v>
      </c>
      <c r="B6" s="5"/>
      <c r="C6" s="5"/>
      <c r="D6" s="7" t="str">
        <f aca="false">IF(OR(B6="",C6=""),"",B6*C6)</f>
        <v/>
      </c>
      <c r="E6" s="5"/>
      <c r="F6" s="7" t="str">
        <f aca="false">IF(D6="","",D6-E6)</f>
        <v/>
      </c>
    </row>
    <row r="7" customFormat="false" ht="15" hidden="false" customHeight="false" outlineLevel="0" collapsed="false">
      <c r="A7" s="4" t="s">
        <v>27</v>
      </c>
      <c r="B7" s="5"/>
      <c r="C7" s="5"/>
      <c r="D7" s="7" t="str">
        <f aca="false">IF(OR(B7="",C7=""),"",B7*C7)</f>
        <v/>
      </c>
      <c r="E7" s="5"/>
      <c r="F7" s="7" t="str">
        <f aca="false">IF(D7="","",D7-E7)</f>
        <v/>
      </c>
    </row>
    <row r="8" customFormat="false" ht="15" hidden="false" customHeight="false" outlineLevel="0" collapsed="false">
      <c r="A8" s="4" t="s">
        <v>28</v>
      </c>
      <c r="B8" s="5"/>
      <c r="C8" s="5"/>
      <c r="D8" s="7" t="str">
        <f aca="false">IF(OR(B8="",C8=""),"",B8*C8)</f>
        <v/>
      </c>
      <c r="E8" s="5"/>
      <c r="F8" s="7" t="str">
        <f aca="false">IF(D8="","",D8-E8)</f>
        <v/>
      </c>
    </row>
    <row r="9" customFormat="false" ht="15" hidden="false" customHeight="false" outlineLevel="0" collapsed="false">
      <c r="A9" s="4" t="s">
        <v>29</v>
      </c>
      <c r="B9" s="5"/>
      <c r="C9" s="5"/>
      <c r="D9" s="7" t="str">
        <f aca="false">IF(OR(B9="",C9=""),"",B9*C9)</f>
        <v/>
      </c>
      <c r="E9" s="5"/>
      <c r="F9" s="7" t="str">
        <f aca="false">IF(D9="","",D9-E9)</f>
        <v/>
      </c>
    </row>
    <row r="10" customFormat="false" ht="15" hidden="false" customHeight="false" outlineLevel="0" collapsed="false">
      <c r="A10" s="4" t="s">
        <v>30</v>
      </c>
      <c r="B10" s="5"/>
      <c r="C10" s="5"/>
      <c r="D10" s="7" t="str">
        <f aca="false">IF(OR(B10="",C10=""),"",B10*C10)</f>
        <v/>
      </c>
      <c r="E10" s="5"/>
      <c r="F10" s="7" t="str">
        <f aca="false">IF(D10="","",D10-E10)</f>
        <v/>
      </c>
    </row>
    <row r="11" customFormat="false" ht="15" hidden="false" customHeight="false" outlineLevel="0" collapsed="false">
      <c r="A11" s="4" t="s">
        <v>31</v>
      </c>
      <c r="B11" s="5"/>
      <c r="C11" s="5"/>
      <c r="D11" s="7" t="str">
        <f aca="false">IF(OR(B11="",C11=""),"",B11*C11)</f>
        <v/>
      </c>
      <c r="E11" s="5"/>
      <c r="F11" s="7" t="str">
        <f aca="false">IF(D11="","",D11-E11)</f>
        <v/>
      </c>
    </row>
    <row r="12" customFormat="false" ht="15" hidden="false" customHeight="false" outlineLevel="0" collapsed="false">
      <c r="A12" s="4" t="s">
        <v>32</v>
      </c>
      <c r="B12" s="8" t="n">
        <f aca="false">SUM(B5:B11)</f>
        <v>0</v>
      </c>
      <c r="D12" s="8" t="n">
        <f aca="false">SUM(D5:D11)</f>
        <v>0</v>
      </c>
      <c r="E12" s="8" t="n">
        <f aca="false">SUM(E5:E11)</f>
        <v>0</v>
      </c>
      <c r="F12" s="8" t="n">
        <f aca="false">SUM(F5:F11)</f>
        <v>0</v>
      </c>
    </row>
    <row r="14" customFormat="false" ht="23.85" hidden="false" customHeight="false" outlineLevel="0" collapsed="false">
      <c r="A14" s="4" t="s">
        <v>33</v>
      </c>
      <c r="B14" s="7" t="n">
        <f aca="false">F12</f>
        <v>0</v>
      </c>
    </row>
    <row r="15" customFormat="false" ht="15" hidden="false" customHeight="false" outlineLevel="0" collapsed="false">
      <c r="A15" s="4" t="s">
        <v>34</v>
      </c>
      <c r="B15" s="7" t="n">
        <f aca="false">-B14*Setup!B17</f>
        <v>-0</v>
      </c>
    </row>
    <row r="16" customFormat="false" ht="15" hidden="false" customHeight="false" outlineLevel="0" collapsed="false">
      <c r="A16" s="4" t="s">
        <v>35</v>
      </c>
      <c r="B16" s="8" t="n">
        <f aca="false">B14+B15</f>
        <v>0</v>
      </c>
    </row>
    <row r="17" customFormat="false" ht="15" hidden="false" customHeight="false" outlineLevel="0" collapsed="false">
      <c r="A17" s="4" t="s">
        <v>36</v>
      </c>
      <c r="B17" s="7" t="n">
        <f aca="false">B16*0.1</f>
        <v>0</v>
      </c>
    </row>
    <row r="18" customFormat="false" ht="15" hidden="false" customHeight="false" outlineLevel="0" collapsed="false">
      <c r="A18" s="4" t="s">
        <v>37</v>
      </c>
      <c r="B18" s="8" t="n">
        <f aca="false">B16+B17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38</v>
      </c>
      <c r="B1" s="2"/>
    </row>
    <row r="3" customFormat="false" ht="15" hidden="false" customHeight="false" outlineLevel="0" collapsed="false">
      <c r="A3" s="9" t="s">
        <v>39</v>
      </c>
    </row>
    <row r="4" customFormat="false" ht="15" hidden="false" customHeight="false" outlineLevel="0" collapsed="false">
      <c r="A4" s="9" t="s">
        <v>40</v>
      </c>
      <c r="B4" s="3" t="s">
        <v>41</v>
      </c>
    </row>
    <row r="5" customFormat="false" ht="15" hidden="false" customHeight="false" outlineLevel="0" collapsed="false">
      <c r="A5" s="9" t="s">
        <v>42</v>
      </c>
      <c r="B5" s="3" t="s">
        <v>43</v>
      </c>
    </row>
    <row r="6" customFormat="false" ht="15" hidden="false" customHeight="false" outlineLevel="0" collapsed="false">
      <c r="A6" s="9" t="s">
        <v>44</v>
      </c>
      <c r="B6" s="3" t="s">
        <v>45</v>
      </c>
    </row>
    <row r="7" customFormat="false" ht="15" hidden="false" customHeight="false" outlineLevel="0" collapsed="false">
      <c r="A7" s="9" t="s">
        <v>46</v>
      </c>
      <c r="B7" s="3" t="s">
        <v>47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