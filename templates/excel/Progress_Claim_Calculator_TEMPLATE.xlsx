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Claims" sheetId="2" state="visible" r:id="rId2"/>
    <sheet xmlns:r="http://schemas.openxmlformats.org/officeDocument/2006/relationships" name="Instruction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9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0" min="1" max="1"/>
    <col width="40" customWidth="1" style="10" min="2" max="2"/>
  </cols>
  <sheetData>
    <row r="1" ht="15" customHeight="1" s="11">
      <c r="A1" s="12" t="inlineStr">
        <is>
          <t>BUSINESS SETUP</t>
        </is>
      </c>
    </row>
    <row r="2" ht="15" customHeight="1" s="11">
      <c r="A2" s="13" t="inlineStr">
        <is>
          <t>Enter your details — they appear across all sheets.</t>
        </is>
      </c>
    </row>
    <row r="4" ht="15" customHeight="1" s="11">
      <c r="A4" s="14" t="inlineStr">
        <is>
          <t>Business Name:</t>
        </is>
      </c>
      <c r="B4" s="15" t="n"/>
    </row>
    <row r="5" ht="15" customHeight="1" s="11">
      <c r="A5" s="14" t="inlineStr">
        <is>
          <t>ABN:</t>
        </is>
      </c>
      <c r="B5" s="15" t="n"/>
    </row>
    <row r="6" ht="15" customHeight="1" s="11">
      <c r="A6" s="14" t="inlineStr">
        <is>
          <t>Builder Licence:</t>
        </is>
      </c>
      <c r="B6" s="15" t="n"/>
    </row>
    <row r="7" ht="15" customHeight="1" s="11">
      <c r="A7" s="14" t="inlineStr">
        <is>
          <t>Address:</t>
        </is>
      </c>
      <c r="B7" s="15" t="n"/>
    </row>
    <row r="8" ht="15" customHeight="1" s="11">
      <c r="A8" s="14" t="inlineStr">
        <is>
          <t>Phone:</t>
        </is>
      </c>
      <c r="B8" s="15" t="n"/>
    </row>
    <row r="9" ht="15" customHeight="1" s="11">
      <c r="A9" s="14" t="inlineStr">
        <is>
          <t>Email:</t>
        </is>
      </c>
      <c r="B9" s="15" t="n"/>
    </row>
    <row r="11" ht="15" customHeight="1" s="11">
      <c r="A11" s="12" t="inlineStr">
        <is>
          <t>PROJECT SETUP</t>
        </is>
      </c>
    </row>
    <row r="13" ht="15" customHeight="1" s="11">
      <c r="A13" s="14" t="inlineStr">
        <is>
          <t>Project Name:</t>
        </is>
      </c>
      <c r="B13" s="15" t="n"/>
    </row>
    <row r="14" ht="15" customHeight="1" s="11">
      <c r="A14" s="14" t="inlineStr">
        <is>
          <t>Project Address:</t>
        </is>
      </c>
      <c r="B14" s="15" t="n"/>
    </row>
    <row r="15" ht="15" customHeight="1" s="11">
      <c r="A15" s="14" t="inlineStr">
        <is>
          <t>Client Name:</t>
        </is>
      </c>
      <c r="B15" s="15" t="n"/>
    </row>
    <row r="16" ht="15" customHeight="1" s="11">
      <c r="A16" s="14" t="inlineStr">
        <is>
          <t>Contract Number:</t>
        </is>
      </c>
      <c r="B16" s="15" t="n"/>
    </row>
    <row r="17" ht="23.85" customHeight="1" s="11">
      <c r="A17" s="14" t="inlineStr">
        <is>
          <t>Contract Sum (excl GST):</t>
        </is>
      </c>
      <c r="B17" s="15" t="n"/>
    </row>
    <row r="18" ht="15" customHeight="1" s="11">
      <c r="A18" s="14" t="inlineStr">
        <is>
          <t>Retention %:</t>
        </is>
      </c>
      <c r="B18" s="16" t="n"/>
    </row>
    <row r="19" ht="23.85" customHeight="1" s="11">
      <c r="A19" s="14" t="inlineStr">
        <is>
          <t>Total Approved Variations (excl GST):</t>
        </is>
      </c>
      <c r="B19" s="15" t="n"/>
    </row>
  </sheetData>
  <mergeCells count="2"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18" customWidth="1" style="10" min="2" max="2"/>
    <col width="12" customWidth="1" style="10" min="3" max="3"/>
    <col width="18" customWidth="1" style="10" min="4" max="6"/>
  </cols>
  <sheetData>
    <row r="1" ht="15" customHeight="1" s="11">
      <c r="A1" s="12" t="inlineStr">
        <is>
          <t>PROGRESS CLAIM CALCULATOR</t>
        </is>
      </c>
    </row>
    <row r="2" ht="15" customHeight="1" s="11">
      <c r="A2" s="14" t="inlineStr">
        <is>
          <t>Project:</t>
        </is>
      </c>
      <c r="B2" s="15">
        <f>Setup!B13</f>
        <v/>
      </c>
      <c r="D2" s="14" t="inlineStr">
        <is>
          <t>Contract Sum:</t>
        </is>
      </c>
      <c r="E2" s="15">
        <f>Setup!B17</f>
        <v/>
      </c>
    </row>
    <row r="4" ht="28.35" customHeight="1" s="11">
      <c r="A4" s="17" t="inlineStr">
        <is>
          <t>Stage</t>
        </is>
      </c>
      <c r="B4" s="17" t="inlineStr">
        <is>
          <t>Contract Value ($)</t>
        </is>
      </c>
      <c r="C4" s="17" t="inlineStr">
        <is>
          <t>% Complete</t>
        </is>
      </c>
      <c r="D4" s="17" t="inlineStr">
        <is>
          <t>Value Completed ($)</t>
        </is>
      </c>
      <c r="E4" s="17" t="inlineStr">
        <is>
          <t>Previously Claimed ($)</t>
        </is>
      </c>
      <c r="F4" s="17" t="inlineStr">
        <is>
          <t>This Claim ($)</t>
        </is>
      </c>
    </row>
    <row r="5" ht="15" customHeight="1" s="11">
      <c r="A5" s="14" t="inlineStr">
        <is>
          <t>Deposit</t>
        </is>
      </c>
      <c r="B5" s="15" t="n"/>
      <c r="C5" s="16" t="n"/>
      <c r="D5" s="18">
        <f>IF(OR(B5="",C5=""),"",B5*C5)</f>
        <v/>
      </c>
      <c r="E5" s="15" t="n"/>
      <c r="F5" s="18">
        <f>IF(D5="","",D5-E5)</f>
        <v/>
      </c>
    </row>
    <row r="6" ht="15" customHeight="1" s="11">
      <c r="A6" s="14" t="inlineStr">
        <is>
          <t>Base / Slab</t>
        </is>
      </c>
      <c r="B6" s="15" t="n"/>
      <c r="C6" s="16" t="n"/>
      <c r="D6" s="18">
        <f>IF(OR(B6="",C6=""),"",B6*C6)</f>
        <v/>
      </c>
      <c r="E6" s="15" t="n"/>
      <c r="F6" s="18">
        <f>IF(D6="","",D6-E6)</f>
        <v/>
      </c>
    </row>
    <row r="7" ht="15" customHeight="1" s="11">
      <c r="A7" s="14" t="inlineStr">
        <is>
          <t>Frame</t>
        </is>
      </c>
      <c r="B7" s="15" t="n"/>
      <c r="C7" s="16" t="n"/>
      <c r="D7" s="18">
        <f>IF(OR(B7="",C7=""),"",B7*C7)</f>
        <v/>
      </c>
      <c r="E7" s="15" t="n"/>
      <c r="F7" s="18">
        <f>IF(D7="","",D7-E7)</f>
        <v/>
      </c>
    </row>
    <row r="8" ht="15" customHeight="1" s="11">
      <c r="A8" s="14" t="inlineStr">
        <is>
          <t>Lock-Up</t>
        </is>
      </c>
      <c r="B8" s="15" t="n"/>
      <c r="C8" s="16" t="n"/>
      <c r="D8" s="18">
        <f>IF(OR(B8="",C8=""),"",B8*C8)</f>
        <v/>
      </c>
      <c r="E8" s="15" t="n"/>
      <c r="F8" s="18">
        <f>IF(D8="","",D8-E8)</f>
        <v/>
      </c>
    </row>
    <row r="9" ht="15" customHeight="1" s="11">
      <c r="A9" s="14" t="inlineStr">
        <is>
          <t>Fixing</t>
        </is>
      </c>
      <c r="B9" s="15" t="n"/>
      <c r="C9" s="16" t="n"/>
      <c r="D9" s="18">
        <f>IF(OR(B9="",C9=""),"",B9*C9)</f>
        <v/>
      </c>
      <c r="E9" s="15" t="n"/>
      <c r="F9" s="18">
        <f>IF(D9="","",D9-E9)</f>
        <v/>
      </c>
    </row>
    <row r="10" ht="15" customHeight="1" s="11">
      <c r="A10" s="14" t="inlineStr">
        <is>
          <t>Practical Completion</t>
        </is>
      </c>
      <c r="B10" s="15" t="n"/>
      <c r="C10" s="16" t="n"/>
      <c r="D10" s="18">
        <f>IF(OR(B10="",C10=""),"",B10*C10)</f>
        <v/>
      </c>
      <c r="E10" s="15" t="n"/>
      <c r="F10" s="18">
        <f>IF(D10="","",D10-E10)</f>
        <v/>
      </c>
    </row>
    <row r="11" ht="15" customHeight="1" s="11">
      <c r="A11" s="14" t="inlineStr">
        <is>
          <t>Approved Variations</t>
        </is>
      </c>
      <c r="B11" s="15" t="n"/>
      <c r="C11" s="16" t="n"/>
      <c r="D11" s="18">
        <f>IF(OR(B11="",C11=""),"",B11*C11)</f>
        <v/>
      </c>
      <c r="E11" s="15" t="n"/>
      <c r="F11" s="18">
        <f>IF(D11="","",D11-E11)</f>
        <v/>
      </c>
    </row>
    <row r="12" ht="15" customHeight="1" s="11">
      <c r="A12" s="14" t="inlineStr">
        <is>
          <t>TOTALS</t>
        </is>
      </c>
      <c r="B12" s="19">
        <f>SUM(B5:B11)</f>
        <v/>
      </c>
      <c r="D12" s="19">
        <f>SUM(D5:D11)</f>
        <v/>
      </c>
      <c r="E12" s="19">
        <f>SUM(E5:E11)</f>
        <v/>
      </c>
      <c r="F12" s="19">
        <f>SUM(F5:F11)</f>
        <v/>
      </c>
    </row>
    <row r="14" ht="23.85" customHeight="1" s="11">
      <c r="A14" s="14" t="inlineStr">
        <is>
          <t>Subtotal This Claim (excl GST):</t>
        </is>
      </c>
      <c r="B14" s="18">
        <f>F12</f>
        <v/>
      </c>
    </row>
    <row r="15" ht="15" customHeight="1" s="11">
      <c r="A15" s="14" t="inlineStr">
        <is>
          <t>Less Retention:</t>
        </is>
      </c>
      <c r="B15" s="18">
        <f>-B14*Setup!B18</f>
        <v/>
      </c>
    </row>
    <row r="16" ht="15" customHeight="1" s="11">
      <c r="A16" s="14" t="inlineStr">
        <is>
          <t>Net Claim (excl GST):</t>
        </is>
      </c>
      <c r="B16" s="19">
        <f>B14+B15</f>
        <v/>
      </c>
    </row>
    <row r="17" ht="15" customHeight="1" s="11">
      <c r="A17" s="14" t="inlineStr">
        <is>
          <t>GST (10%):</t>
        </is>
      </c>
      <c r="B17" s="18">
        <f>B16*0.1</f>
        <v/>
      </c>
    </row>
    <row r="18" ht="15" customHeight="1" s="11">
      <c r="A18" s="14" t="inlineStr">
        <is>
          <t>TOTAL CLAIM (incl GST):</t>
        </is>
      </c>
      <c r="B18" s="19">
        <f>B16+B17</f>
        <v/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70" customWidth="1" style="10" min="2" max="2"/>
  </cols>
  <sheetData>
    <row r="1" ht="15" customHeight="1" s="11">
      <c r="A1" s="12" t="inlineStr">
        <is>
          <t>HOW TO USE THIS PROGRESS CLAIM CALCULATOR</t>
        </is>
      </c>
    </row>
    <row r="3" ht="15" customHeight="1" s="11">
      <c r="A3" s="20" t="inlineStr">
        <is>
          <t>QUICK START</t>
        </is>
      </c>
    </row>
    <row r="4" ht="15" customHeight="1" s="11">
      <c r="A4" s="20" t="inlineStr">
        <is>
          <t>1. Setup</t>
        </is>
      </c>
      <c r="B4" s="13" t="inlineStr">
        <is>
          <t>Enter contract details including retention %.</t>
        </is>
      </c>
    </row>
    <row r="5" ht="15" customHeight="1" s="11">
      <c r="A5" s="20" t="inlineStr">
        <is>
          <t>2. Stages</t>
        </is>
      </c>
      <c r="B5" s="13" t="inlineStr">
        <is>
          <t>Enter contract value per stage.</t>
        </is>
      </c>
    </row>
    <row r="6" ht="15" customHeight="1" s="11">
      <c r="A6" s="20" t="inlineStr">
        <is>
          <t>3. Progress</t>
        </is>
      </c>
      <c r="B6" s="13" t="inlineStr">
        <is>
          <t>Update % complete and previous claims.</t>
        </is>
      </c>
    </row>
    <row r="7" ht="15" customHeight="1" s="11">
      <c r="A7" s="20" t="inlineStr">
        <is>
          <t>4. Calculate</t>
        </is>
      </c>
      <c r="B7" s="13" t="inlineStr">
        <is>
          <t>This Claim amount auto-calculates.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2026-02-06T11:16:03Z</dcterms:created>
  <dcterms:modified xmlns:dcterms="http://purl.org/dc/terms/" xmlns:xsi="http://www.w3.org/2001/XMLSchema-instance" xsi:type="dcterms:W3CDTF">2026-10-16T10:12:28Z</dcterms:modified>
  <cp:revision>0</cp:revision>
</cp:coreProperties>
</file>