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" sheetId="1" state="visible" r:id="rId1"/>
    <sheet xmlns:r="http://schemas.openxmlformats.org/officeDocument/2006/relationships" name="Program" sheetId="2" state="visible" r:id="rId2"/>
    <sheet xmlns:r="http://schemas.openxmlformats.org/officeDocument/2006/relationships" name="Holidays" sheetId="3" state="visible" r:id="rId3"/>
    <sheet xmlns:r="http://schemas.openxmlformats.org/officeDocument/2006/relationships" name="Instru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/mm"/>
    <numFmt numFmtId="165" formatCode="dd/mm/yyyy"/>
  </numFmts>
  <fonts count="6">
    <font>
      <name val="Calibri"/>
      <family val="2"/>
      <color theme="1"/>
      <sz val="11"/>
      <scheme val="minor"/>
    </font>
    <font>
      <name val="Cambria"/>
      <b val="1"/>
      <color rgb="FFFFFFFF"/>
      <sz val="12"/>
    </font>
    <font>
      <name val="Cambria"/>
      <b val="1"/>
      <sz val="10"/>
    </font>
    <font>
      <name val="Cambria"/>
      <b val="1"/>
      <color rgb="FFFFFFFF"/>
      <sz val="16"/>
    </font>
    <font>
      <name val="Cambria"/>
      <b val="1"/>
      <color rgb="FFFFFFFF"/>
      <sz val="10"/>
    </font>
    <font>
      <name val="Cambria"/>
      <b val="1"/>
      <color rgb="FF003366"/>
      <sz val="10"/>
    </font>
  </fonts>
  <fills count="4">
    <fill>
      <patternFill/>
    </fill>
    <fill>
      <patternFill patternType="gray125"/>
    </fill>
    <fill>
      <patternFill patternType="solid">
        <fgColor rgb="FF003366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0" fillId="0" borderId="1" pivotButton="0" quotePrefix="0" xfId="0"/>
    <xf numFmtId="0" fontId="3" fillId="2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textRotation="90"/>
    </xf>
    <xf numFmtId="165" fontId="0" fillId="0" borderId="1" pivotButton="0" quotePrefix="0" xfId="0"/>
    <xf numFmtId="9" fontId="0" fillId="0" borderId="1" pivotButton="0" quotePrefix="0" xfId="0"/>
    <xf numFmtId="0" fontId="2" fillId="3" borderId="0" pivotButton="0" quotePrefix="0" xfId="0"/>
    <xf numFmtId="165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FF00336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PROJECT SETUP</t>
        </is>
      </c>
    </row>
    <row r="3">
      <c r="A3" s="2" t="inlineStr">
        <is>
          <t>Business Name:</t>
        </is>
      </c>
      <c r="B3" s="3" t="n"/>
    </row>
    <row r="4">
      <c r="A4" s="2" t="inlineStr">
        <is>
          <t>Project Name:</t>
        </is>
      </c>
      <c r="B4" s="3" t="n"/>
    </row>
    <row r="5">
      <c r="A5" s="2" t="inlineStr">
        <is>
          <t>Project Address:</t>
        </is>
      </c>
      <c r="B5" s="3" t="n"/>
    </row>
    <row r="6">
      <c r="A6" s="2" t="inlineStr">
        <is>
          <t>Client Name:</t>
        </is>
      </c>
      <c r="B6" s="3" t="n"/>
    </row>
    <row r="7">
      <c r="A7" s="2" t="inlineStr">
        <is>
          <t>Contract Number:</t>
        </is>
      </c>
      <c r="B7" s="3" t="n"/>
    </row>
    <row r="8">
      <c r="A8" s="2" t="inlineStr">
        <is>
          <t>Start Date:</t>
        </is>
      </c>
      <c r="B8" s="3" t="n"/>
    </row>
    <row r="9">
      <c r="A9" s="2" t="inlineStr">
        <is>
          <t>Completion Date:</t>
        </is>
      </c>
      <c r="B9" s="3" t="n"/>
    </row>
    <row r="10">
      <c r="A10" s="2" t="inlineStr">
        <is>
          <t>Site Supervisor:</t>
        </is>
      </c>
      <c r="B1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16" customWidth="1" min="3" max="3"/>
    <col width="12" customWidth="1" min="4" max="4"/>
    <col width="12" customWidth="1" min="5" max="5"/>
    <col width="12" customWidth="1" min="6" max="6"/>
    <col width="12" customWidth="1" min="7" max="7"/>
    <col width="10" customWidth="1" min="8" max="8"/>
    <col width="2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  <col width="4" customWidth="1" min="26" max="26"/>
    <col width="4" customWidth="1" min="27" max="27"/>
    <col width="4" customWidth="1" min="28" max="28"/>
    <col width="4" customWidth="1" min="29" max="29"/>
    <col width="4" customWidth="1" min="30" max="30"/>
    <col width="4" customWidth="1" min="31" max="31"/>
    <col width="4" customWidth="1" min="32" max="32"/>
    <col width="4" customWidth="1" min="33" max="33"/>
    <col width="4" customWidth="1" min="34" max="34"/>
    <col width="4" customWidth="1" min="35" max="35"/>
  </cols>
  <sheetData>
    <row r="1">
      <c r="A1" s="4" t="inlineStr">
        <is>
          <t>CONSTRUCTION PROGRAM</t>
        </is>
      </c>
    </row>
    <row r="2">
      <c r="A2" s="5" t="inlineStr">
        <is>
          <t>Project:</t>
        </is>
      </c>
      <c r="B2">
        <f>Setup!$B$4</f>
        <v/>
      </c>
      <c r="D2" s="5" t="inlineStr">
        <is>
          <t>Contract completion:</t>
        </is>
      </c>
      <c r="E2">
        <f>Setup!$B$9</f>
        <v/>
      </c>
    </row>
    <row r="4">
      <c r="A4" s="6" t="inlineStr">
        <is>
          <t>ID</t>
        </is>
      </c>
      <c r="B4" s="6" t="inlineStr">
        <is>
          <t>Task</t>
        </is>
      </c>
      <c r="C4" s="6" t="inlineStr">
        <is>
          <t>Trade</t>
        </is>
      </c>
      <c r="D4" s="6" t="inlineStr">
        <is>
          <t>Start</t>
        </is>
      </c>
      <c r="E4" s="6" t="inlineStr">
        <is>
          <t>Duration (working days)</t>
        </is>
      </c>
      <c r="F4" s="6" t="inlineStr">
        <is>
          <t>Finish</t>
        </is>
      </c>
      <c r="G4" s="6" t="inlineStr">
        <is>
          <t>Predecessor ID</t>
        </is>
      </c>
      <c r="H4" s="6" t="inlineStr">
        <is>
          <t>% Complete</t>
        </is>
      </c>
      <c r="I4" s="6" t="inlineStr">
        <is>
          <t>Notes</t>
        </is>
      </c>
      <c r="J4" s="7">
        <f>IF(Setup!$B$8="","",Setup!$B$8-WEEKDAY(Setup!$B$8,3))</f>
        <v/>
      </c>
      <c r="K4" s="7">
        <f>IF(J4="","",J4+7)</f>
        <v/>
      </c>
      <c r="L4" s="7">
        <f>IF(K4="","",K4+7)</f>
        <v/>
      </c>
      <c r="M4" s="7">
        <f>IF(L4="","",L4+7)</f>
        <v/>
      </c>
      <c r="N4" s="7">
        <f>IF(M4="","",M4+7)</f>
        <v/>
      </c>
      <c r="O4" s="7">
        <f>IF(N4="","",N4+7)</f>
        <v/>
      </c>
      <c r="P4" s="7">
        <f>IF(O4="","",O4+7)</f>
        <v/>
      </c>
      <c r="Q4" s="7">
        <f>IF(P4="","",P4+7)</f>
        <v/>
      </c>
      <c r="R4" s="7">
        <f>IF(Q4="","",Q4+7)</f>
        <v/>
      </c>
      <c r="S4" s="7">
        <f>IF(R4="","",R4+7)</f>
        <v/>
      </c>
      <c r="T4" s="7">
        <f>IF(S4="","",S4+7)</f>
        <v/>
      </c>
      <c r="U4" s="7">
        <f>IF(T4="","",T4+7)</f>
        <v/>
      </c>
      <c r="V4" s="7">
        <f>IF(U4="","",U4+7)</f>
        <v/>
      </c>
      <c r="W4" s="7">
        <f>IF(V4="","",V4+7)</f>
        <v/>
      </c>
      <c r="X4" s="7">
        <f>IF(W4="","",W4+7)</f>
        <v/>
      </c>
      <c r="Y4" s="7">
        <f>IF(X4="","",X4+7)</f>
        <v/>
      </c>
      <c r="Z4" s="7">
        <f>IF(Y4="","",Y4+7)</f>
        <v/>
      </c>
      <c r="AA4" s="7">
        <f>IF(Z4="","",Z4+7)</f>
        <v/>
      </c>
      <c r="AB4" s="7">
        <f>IF(AA4="","",AA4+7)</f>
        <v/>
      </c>
      <c r="AC4" s="7">
        <f>IF(AB4="","",AB4+7)</f>
        <v/>
      </c>
      <c r="AD4" s="7">
        <f>IF(AC4="","",AC4+7)</f>
        <v/>
      </c>
      <c r="AE4" s="7">
        <f>IF(AD4="","",AD4+7)</f>
        <v/>
      </c>
      <c r="AF4" s="7">
        <f>IF(AE4="","",AE4+7)</f>
        <v/>
      </c>
      <c r="AG4" s="7">
        <f>IF(AF4="","",AF4+7)</f>
        <v/>
      </c>
      <c r="AH4" s="7">
        <f>IF(AG4="","",AG4+7)</f>
        <v/>
      </c>
      <c r="AI4" s="7">
        <f>IF(AH4="","",AH4+7)</f>
        <v/>
      </c>
    </row>
    <row r="5">
      <c r="A5" s="3" t="n">
        <v>1</v>
      </c>
      <c r="B5" s="3" t="inlineStr">
        <is>
          <t>Site establishment</t>
        </is>
      </c>
      <c r="C5" s="3" t="n"/>
      <c r="D5" s="8">
        <f>IF(G5&lt;&gt;"",WORKDAY(INDEX($F$5:$F$64,MATCH(G5,$A$5:$A$64,0)),1,Holidays!$A$4:$A$60),IF(A5=1,Setup!$B$8,""))</f>
        <v/>
      </c>
      <c r="E5" s="3" t="n"/>
      <c r="F5" s="8">
        <f>IF(OR(D5="",E5=""),"",WORKDAY(D5,E5-1,Holidays!$A$4:$A$60))</f>
        <v/>
      </c>
      <c r="G5" s="3" t="n"/>
      <c r="H5" s="9" t="n"/>
      <c r="I5" s="3" t="n"/>
    </row>
    <row r="6">
      <c r="A6" s="3" t="n">
        <v>2</v>
      </c>
      <c r="B6" s="3" t="inlineStr">
        <is>
          <t>Set out and excavation</t>
        </is>
      </c>
      <c r="C6" s="3" t="n"/>
      <c r="D6" s="8">
        <f>IF(G6&lt;&gt;"",WORKDAY(INDEX($F$5:$F$64,MATCH(G6,$A$5:$A$64,0)),1,Holidays!$A$4:$A$60),IF(A6=1,Setup!$B$8,""))</f>
        <v/>
      </c>
      <c r="E6" s="3" t="n"/>
      <c r="F6" s="8">
        <f>IF(OR(D6="",E6=""),"",WORKDAY(D6,E6-1,Holidays!$A$4:$A$60))</f>
        <v/>
      </c>
      <c r="G6" s="3" t="n">
        <v>1</v>
      </c>
      <c r="H6" s="9" t="n"/>
      <c r="I6" s="3" t="n"/>
    </row>
    <row r="7">
      <c r="A7" s="3" t="n">
        <v>3</v>
      </c>
      <c r="B7" s="3" t="inlineStr">
        <is>
          <t>Footings and slab</t>
        </is>
      </c>
      <c r="C7" s="3" t="n"/>
      <c r="D7" s="8">
        <f>IF(G7&lt;&gt;"",WORKDAY(INDEX($F$5:$F$64,MATCH(G7,$A$5:$A$64,0)),1,Holidays!$A$4:$A$60),IF(A7=1,Setup!$B$8,""))</f>
        <v/>
      </c>
      <c r="E7" s="3" t="n"/>
      <c r="F7" s="8">
        <f>IF(OR(D7="",E7=""),"",WORKDAY(D7,E7-1,Holidays!$A$4:$A$60))</f>
        <v/>
      </c>
      <c r="G7" s="3" t="n">
        <v>2</v>
      </c>
      <c r="H7" s="9" t="n"/>
      <c r="I7" s="3" t="n"/>
    </row>
    <row r="8">
      <c r="A8" s="3" t="n">
        <v>4</v>
      </c>
      <c r="B8" s="3" t="inlineStr">
        <is>
          <t>Frame</t>
        </is>
      </c>
      <c r="C8" s="3" t="n"/>
      <c r="D8" s="8">
        <f>IF(G8&lt;&gt;"",WORKDAY(INDEX($F$5:$F$64,MATCH(G8,$A$5:$A$64,0)),1,Holidays!$A$4:$A$60),IF(A8=1,Setup!$B$8,""))</f>
        <v/>
      </c>
      <c r="E8" s="3" t="n"/>
      <c r="F8" s="8">
        <f>IF(OR(D8="",E8=""),"",WORKDAY(D8,E8-1,Holidays!$A$4:$A$60))</f>
        <v/>
      </c>
      <c r="G8" s="3" t="n">
        <v>3</v>
      </c>
      <c r="H8" s="9" t="n"/>
      <c r="I8" s="3" t="n"/>
    </row>
    <row r="9">
      <c r="A9" s="3" t="n">
        <v>5</v>
      </c>
      <c r="B9" s="3" t="inlineStr">
        <is>
          <t>Roof cover</t>
        </is>
      </c>
      <c r="C9" s="3" t="n"/>
      <c r="D9" s="8">
        <f>IF(G9&lt;&gt;"",WORKDAY(INDEX($F$5:$F$64,MATCH(G9,$A$5:$A$64,0)),1,Holidays!$A$4:$A$60),IF(A9=1,Setup!$B$8,""))</f>
        <v/>
      </c>
      <c r="E9" s="3" t="n"/>
      <c r="F9" s="8">
        <f>IF(OR(D9="",E9=""),"",WORKDAY(D9,E9-1,Holidays!$A$4:$A$60))</f>
        <v/>
      </c>
      <c r="G9" s="3" t="n">
        <v>4</v>
      </c>
      <c r="H9" s="9" t="n"/>
      <c r="I9" s="3" t="n"/>
    </row>
    <row r="10">
      <c r="A10" s="3" t="n">
        <v>6</v>
      </c>
      <c r="B10" s="3" t="inlineStr">
        <is>
          <t>Windows and external doors (lock-up)</t>
        </is>
      </c>
      <c r="C10" s="3" t="n"/>
      <c r="D10" s="8">
        <f>IF(G10&lt;&gt;"",WORKDAY(INDEX($F$5:$F$64,MATCH(G10,$A$5:$A$64,0)),1,Holidays!$A$4:$A$60),IF(A10=1,Setup!$B$8,""))</f>
        <v/>
      </c>
      <c r="E10" s="3" t="n"/>
      <c r="F10" s="8">
        <f>IF(OR(D10="",E10=""),"",WORKDAY(D10,E10-1,Holidays!$A$4:$A$60))</f>
        <v/>
      </c>
      <c r="G10" s="3" t="n">
        <v>5</v>
      </c>
      <c r="H10" s="9" t="n"/>
      <c r="I10" s="3" t="n"/>
    </row>
    <row r="11">
      <c r="A11" s="3" t="n">
        <v>7</v>
      </c>
      <c r="B11" s="3" t="inlineStr">
        <is>
          <t>Rough-in: plumbing, electrical, mechanical</t>
        </is>
      </c>
      <c r="C11" s="3" t="n"/>
      <c r="D11" s="8">
        <f>IF(G11&lt;&gt;"",WORKDAY(INDEX($F$5:$F$64,MATCH(G11,$A$5:$A$64,0)),1,Holidays!$A$4:$A$60),IF(A11=1,Setup!$B$8,""))</f>
        <v/>
      </c>
      <c r="E11" s="3" t="n"/>
      <c r="F11" s="8">
        <f>IF(OR(D11="",E11=""),"",WORKDAY(D11,E11-1,Holidays!$A$4:$A$60))</f>
        <v/>
      </c>
      <c r="G11" s="3" t="n">
        <v>6</v>
      </c>
      <c r="H11" s="9" t="n"/>
      <c r="I11" s="3" t="n"/>
    </row>
    <row r="12">
      <c r="A12" s="3" t="n">
        <v>8</v>
      </c>
      <c r="B12" s="3" t="inlineStr">
        <is>
          <t>Insulation</t>
        </is>
      </c>
      <c r="C12" s="3" t="n"/>
      <c r="D12" s="8">
        <f>IF(G12&lt;&gt;"",WORKDAY(INDEX($F$5:$F$64,MATCH(G12,$A$5:$A$64,0)),1,Holidays!$A$4:$A$60),IF(A12=1,Setup!$B$8,""))</f>
        <v/>
      </c>
      <c r="E12" s="3" t="n"/>
      <c r="F12" s="8">
        <f>IF(OR(D12="",E12=""),"",WORKDAY(D12,E12-1,Holidays!$A$4:$A$60))</f>
        <v/>
      </c>
      <c r="G12" s="3" t="n">
        <v>7</v>
      </c>
      <c r="H12" s="9" t="n"/>
      <c r="I12" s="3" t="n"/>
    </row>
    <row r="13">
      <c r="A13" s="3" t="n">
        <v>9</v>
      </c>
      <c r="B13" s="3" t="inlineStr">
        <is>
          <t>Plasterboard</t>
        </is>
      </c>
      <c r="C13" s="3" t="n"/>
      <c r="D13" s="8">
        <f>IF(G13&lt;&gt;"",WORKDAY(INDEX($F$5:$F$64,MATCH(G13,$A$5:$A$64,0)),1,Holidays!$A$4:$A$60),IF(A13=1,Setup!$B$8,""))</f>
        <v/>
      </c>
      <c r="E13" s="3" t="n"/>
      <c r="F13" s="8">
        <f>IF(OR(D13="",E13=""),"",WORKDAY(D13,E13-1,Holidays!$A$4:$A$60))</f>
        <v/>
      </c>
      <c r="G13" s="3" t="n">
        <v>8</v>
      </c>
      <c r="H13" s="9" t="n"/>
      <c r="I13" s="3" t="n"/>
    </row>
    <row r="14">
      <c r="A14" s="3" t="n">
        <v>10</v>
      </c>
      <c r="B14" s="3" t="inlineStr">
        <is>
          <t>Waterproofing</t>
        </is>
      </c>
      <c r="C14" s="3" t="n"/>
      <c r="D14" s="8">
        <f>IF(G14&lt;&gt;"",WORKDAY(INDEX($F$5:$F$64,MATCH(G14,$A$5:$A$64,0)),1,Holidays!$A$4:$A$60),IF(A14=1,Setup!$B$8,""))</f>
        <v/>
      </c>
      <c r="E14" s="3" t="n"/>
      <c r="F14" s="8">
        <f>IF(OR(D14="",E14=""),"",WORKDAY(D14,E14-1,Holidays!$A$4:$A$60))</f>
        <v/>
      </c>
      <c r="G14" s="3" t="n">
        <v>9</v>
      </c>
      <c r="H14" s="9" t="n"/>
      <c r="I14" s="3" t="n"/>
    </row>
    <row r="15">
      <c r="A15" s="3" t="n">
        <v>11</v>
      </c>
      <c r="B15" s="3" t="inlineStr">
        <is>
          <t>Fix-out: joinery, doors, trims</t>
        </is>
      </c>
      <c r="C15" s="3" t="n"/>
      <c r="D15" s="8">
        <f>IF(G15&lt;&gt;"",WORKDAY(INDEX($F$5:$F$64,MATCH(G15,$A$5:$A$64,0)),1,Holidays!$A$4:$A$60),IF(A15=1,Setup!$B$8,""))</f>
        <v/>
      </c>
      <c r="E15" s="3" t="n"/>
      <c r="F15" s="8">
        <f>IF(OR(D15="",E15=""),"",WORKDAY(D15,E15-1,Holidays!$A$4:$A$60))</f>
        <v/>
      </c>
      <c r="G15" s="3" t="n">
        <v>10</v>
      </c>
      <c r="H15" s="9" t="n"/>
      <c r="I15" s="3" t="n"/>
    </row>
    <row r="16">
      <c r="A16" s="3" t="n">
        <v>12</v>
      </c>
      <c r="B16" s="3" t="inlineStr">
        <is>
          <t>Tiling</t>
        </is>
      </c>
      <c r="C16" s="3" t="n"/>
      <c r="D16" s="8">
        <f>IF(G16&lt;&gt;"",WORKDAY(INDEX($F$5:$F$64,MATCH(G16,$A$5:$A$64,0)),1,Holidays!$A$4:$A$60),IF(A16=1,Setup!$B$8,""))</f>
        <v/>
      </c>
      <c r="E16" s="3" t="n"/>
      <c r="F16" s="8">
        <f>IF(OR(D16="",E16=""),"",WORKDAY(D16,E16-1,Holidays!$A$4:$A$60))</f>
        <v/>
      </c>
      <c r="G16" s="3" t="n">
        <v>11</v>
      </c>
      <c r="H16" s="9" t="n"/>
      <c r="I16" s="3" t="n"/>
    </row>
    <row r="17">
      <c r="A17" s="3" t="n">
        <v>13</v>
      </c>
      <c r="B17" s="3" t="inlineStr">
        <is>
          <t>Painting</t>
        </is>
      </c>
      <c r="C17" s="3" t="n"/>
      <c r="D17" s="8">
        <f>IF(G17&lt;&gt;"",WORKDAY(INDEX($F$5:$F$64,MATCH(G17,$A$5:$A$64,0)),1,Holidays!$A$4:$A$60),IF(A17=1,Setup!$B$8,""))</f>
        <v/>
      </c>
      <c r="E17" s="3" t="n"/>
      <c r="F17" s="8">
        <f>IF(OR(D17="",E17=""),"",WORKDAY(D17,E17-1,Holidays!$A$4:$A$60))</f>
        <v/>
      </c>
      <c r="G17" s="3" t="n">
        <v>12</v>
      </c>
      <c r="H17" s="9" t="n"/>
      <c r="I17" s="3" t="n"/>
    </row>
    <row r="18">
      <c r="A18" s="3" t="n">
        <v>14</v>
      </c>
      <c r="B18" s="3" t="inlineStr">
        <is>
          <t>Fit-off: plumbing, electrical</t>
        </is>
      </c>
      <c r="C18" s="3" t="n"/>
      <c r="D18" s="8">
        <f>IF(G18&lt;&gt;"",WORKDAY(INDEX($F$5:$F$64,MATCH(G18,$A$5:$A$64,0)),1,Holidays!$A$4:$A$60),IF(A18=1,Setup!$B$8,""))</f>
        <v/>
      </c>
      <c r="E18" s="3" t="n"/>
      <c r="F18" s="8">
        <f>IF(OR(D18="",E18=""),"",WORKDAY(D18,E18-1,Holidays!$A$4:$A$60))</f>
        <v/>
      </c>
      <c r="G18" s="3" t="n">
        <v>13</v>
      </c>
      <c r="H18" s="9" t="n"/>
      <c r="I18" s="3" t="n"/>
    </row>
    <row r="19">
      <c r="A19" s="3" t="n">
        <v>15</v>
      </c>
      <c r="B19" s="3" t="inlineStr">
        <is>
          <t>External works and landscaping</t>
        </is>
      </c>
      <c r="C19" s="3" t="n"/>
      <c r="D19" s="8">
        <f>IF(G19&lt;&gt;"",WORKDAY(INDEX($F$5:$F$64,MATCH(G19,$A$5:$A$64,0)),1,Holidays!$A$4:$A$60),IF(A19=1,Setup!$B$8,""))</f>
        <v/>
      </c>
      <c r="E19" s="3" t="n"/>
      <c r="F19" s="8">
        <f>IF(OR(D19="",E19=""),"",WORKDAY(D19,E19-1,Holidays!$A$4:$A$60))</f>
        <v/>
      </c>
      <c r="G19" s="3" t="n">
        <v>14</v>
      </c>
      <c r="H19" s="9" t="n"/>
      <c r="I19" s="3" t="n"/>
    </row>
    <row r="20">
      <c r="A20" s="3" t="n">
        <v>16</v>
      </c>
      <c r="B20" s="3" t="inlineStr">
        <is>
          <t>Final clean</t>
        </is>
      </c>
      <c r="C20" s="3" t="n"/>
      <c r="D20" s="8">
        <f>IF(G20&lt;&gt;"",WORKDAY(INDEX($F$5:$F$64,MATCH(G20,$A$5:$A$64,0)),1,Holidays!$A$4:$A$60),IF(A20=1,Setup!$B$8,""))</f>
        <v/>
      </c>
      <c r="E20" s="3" t="n"/>
      <c r="F20" s="8">
        <f>IF(OR(D20="",E20=""),"",WORKDAY(D20,E20-1,Holidays!$A$4:$A$60))</f>
        <v/>
      </c>
      <c r="G20" s="3" t="n">
        <v>15</v>
      </c>
      <c r="H20" s="9" t="n"/>
      <c r="I20" s="3" t="n"/>
    </row>
    <row r="21">
      <c r="A21" s="3" t="n">
        <v>17</v>
      </c>
      <c r="B21" s="3" t="inlineStr">
        <is>
          <t>Practical completion inspection</t>
        </is>
      </c>
      <c r="C21" s="3" t="n"/>
      <c r="D21" s="8">
        <f>IF(G21&lt;&gt;"",WORKDAY(INDEX($F$5:$F$64,MATCH(G21,$A$5:$A$64,0)),1,Holidays!$A$4:$A$60),IF(A21=1,Setup!$B$8,""))</f>
        <v/>
      </c>
      <c r="E21" s="3" t="n"/>
      <c r="F21" s="8">
        <f>IF(OR(D21="",E21=""),"",WORKDAY(D21,E21-1,Holidays!$A$4:$A$60))</f>
        <v/>
      </c>
      <c r="G21" s="3" t="n">
        <v>16</v>
      </c>
      <c r="H21" s="9" t="n"/>
      <c r="I21" s="3" t="n"/>
    </row>
    <row r="22">
      <c r="A22" s="3" t="n">
        <v>18</v>
      </c>
      <c r="B22" s="3" t="n"/>
      <c r="C22" s="3" t="n"/>
      <c r="D22" s="8">
        <f>IF(G22&lt;&gt;"",WORKDAY(INDEX($F$5:$F$64,MATCH(G22,$A$5:$A$64,0)),1,Holidays!$A$4:$A$60),IF(A22=1,Setup!$B$8,""))</f>
        <v/>
      </c>
      <c r="E22" s="3" t="n"/>
      <c r="F22" s="8">
        <f>IF(OR(D22="",E22=""),"",WORKDAY(D22,E22-1,Holidays!$A$4:$A$60))</f>
        <v/>
      </c>
      <c r="G22" s="3" t="n"/>
      <c r="H22" s="9" t="n"/>
      <c r="I22" s="3" t="n"/>
    </row>
    <row r="23">
      <c r="A23" s="3" t="n">
        <v>19</v>
      </c>
      <c r="B23" s="3" t="n"/>
      <c r="C23" s="3" t="n"/>
      <c r="D23" s="8">
        <f>IF(G23&lt;&gt;"",WORKDAY(INDEX($F$5:$F$64,MATCH(G23,$A$5:$A$64,0)),1,Holidays!$A$4:$A$60),IF(A23=1,Setup!$B$8,""))</f>
        <v/>
      </c>
      <c r="E23" s="3" t="n"/>
      <c r="F23" s="8">
        <f>IF(OR(D23="",E23=""),"",WORKDAY(D23,E23-1,Holidays!$A$4:$A$60))</f>
        <v/>
      </c>
      <c r="G23" s="3" t="n"/>
      <c r="H23" s="9" t="n"/>
      <c r="I23" s="3" t="n"/>
    </row>
    <row r="24">
      <c r="A24" s="3" t="n">
        <v>20</v>
      </c>
      <c r="B24" s="3" t="n"/>
      <c r="C24" s="3" t="n"/>
      <c r="D24" s="8">
        <f>IF(G24&lt;&gt;"",WORKDAY(INDEX($F$5:$F$64,MATCH(G24,$A$5:$A$64,0)),1,Holidays!$A$4:$A$60),IF(A24=1,Setup!$B$8,""))</f>
        <v/>
      </c>
      <c r="E24" s="3" t="n"/>
      <c r="F24" s="8">
        <f>IF(OR(D24="",E24=""),"",WORKDAY(D24,E24-1,Holidays!$A$4:$A$60))</f>
        <v/>
      </c>
      <c r="G24" s="3" t="n"/>
      <c r="H24" s="9" t="n"/>
      <c r="I24" s="3" t="n"/>
    </row>
    <row r="25">
      <c r="A25" s="3" t="n">
        <v>21</v>
      </c>
      <c r="B25" s="3" t="n"/>
      <c r="C25" s="3" t="n"/>
      <c r="D25" s="8">
        <f>IF(G25&lt;&gt;"",WORKDAY(INDEX($F$5:$F$64,MATCH(G25,$A$5:$A$64,0)),1,Holidays!$A$4:$A$60),IF(A25=1,Setup!$B$8,""))</f>
        <v/>
      </c>
      <c r="E25" s="3" t="n"/>
      <c r="F25" s="8">
        <f>IF(OR(D25="",E25=""),"",WORKDAY(D25,E25-1,Holidays!$A$4:$A$60))</f>
        <v/>
      </c>
      <c r="G25" s="3" t="n"/>
      <c r="H25" s="9" t="n"/>
      <c r="I25" s="3" t="n"/>
    </row>
    <row r="26">
      <c r="A26" s="3" t="n">
        <v>22</v>
      </c>
      <c r="B26" s="3" t="n"/>
      <c r="C26" s="3" t="n"/>
      <c r="D26" s="8">
        <f>IF(G26&lt;&gt;"",WORKDAY(INDEX($F$5:$F$64,MATCH(G26,$A$5:$A$64,0)),1,Holidays!$A$4:$A$60),IF(A26=1,Setup!$B$8,""))</f>
        <v/>
      </c>
      <c r="E26" s="3" t="n"/>
      <c r="F26" s="8">
        <f>IF(OR(D26="",E26=""),"",WORKDAY(D26,E26-1,Holidays!$A$4:$A$60))</f>
        <v/>
      </c>
      <c r="G26" s="3" t="n"/>
      <c r="H26" s="9" t="n"/>
      <c r="I26" s="3" t="n"/>
    </row>
    <row r="27">
      <c r="A27" s="3" t="n">
        <v>23</v>
      </c>
      <c r="B27" s="3" t="n"/>
      <c r="C27" s="3" t="n"/>
      <c r="D27" s="8">
        <f>IF(G27&lt;&gt;"",WORKDAY(INDEX($F$5:$F$64,MATCH(G27,$A$5:$A$64,0)),1,Holidays!$A$4:$A$60),IF(A27=1,Setup!$B$8,""))</f>
        <v/>
      </c>
      <c r="E27" s="3" t="n"/>
      <c r="F27" s="8">
        <f>IF(OR(D27="",E27=""),"",WORKDAY(D27,E27-1,Holidays!$A$4:$A$60))</f>
        <v/>
      </c>
      <c r="G27" s="3" t="n"/>
      <c r="H27" s="9" t="n"/>
      <c r="I27" s="3" t="n"/>
    </row>
    <row r="28">
      <c r="A28" s="3" t="n">
        <v>24</v>
      </c>
      <c r="B28" s="3" t="n"/>
      <c r="C28" s="3" t="n"/>
      <c r="D28" s="8">
        <f>IF(G28&lt;&gt;"",WORKDAY(INDEX($F$5:$F$64,MATCH(G28,$A$5:$A$64,0)),1,Holidays!$A$4:$A$60),IF(A28=1,Setup!$B$8,""))</f>
        <v/>
      </c>
      <c r="E28" s="3" t="n"/>
      <c r="F28" s="8">
        <f>IF(OR(D28="",E28=""),"",WORKDAY(D28,E28-1,Holidays!$A$4:$A$60))</f>
        <v/>
      </c>
      <c r="G28" s="3" t="n"/>
      <c r="H28" s="9" t="n"/>
      <c r="I28" s="3" t="n"/>
    </row>
    <row r="29">
      <c r="A29" s="3" t="n">
        <v>25</v>
      </c>
      <c r="B29" s="3" t="n"/>
      <c r="C29" s="3" t="n"/>
      <c r="D29" s="8">
        <f>IF(G29&lt;&gt;"",WORKDAY(INDEX($F$5:$F$64,MATCH(G29,$A$5:$A$64,0)),1,Holidays!$A$4:$A$60),IF(A29=1,Setup!$B$8,""))</f>
        <v/>
      </c>
      <c r="E29" s="3" t="n"/>
      <c r="F29" s="8">
        <f>IF(OR(D29="",E29=""),"",WORKDAY(D29,E29-1,Holidays!$A$4:$A$60))</f>
        <v/>
      </c>
      <c r="G29" s="3" t="n"/>
      <c r="H29" s="9" t="n"/>
      <c r="I29" s="3" t="n"/>
    </row>
    <row r="30">
      <c r="A30" s="3" t="n">
        <v>26</v>
      </c>
      <c r="B30" s="3" t="n"/>
      <c r="C30" s="3" t="n"/>
      <c r="D30" s="8">
        <f>IF(G30&lt;&gt;"",WORKDAY(INDEX($F$5:$F$64,MATCH(G30,$A$5:$A$64,0)),1,Holidays!$A$4:$A$60),IF(A30=1,Setup!$B$8,""))</f>
        <v/>
      </c>
      <c r="E30" s="3" t="n"/>
      <c r="F30" s="8">
        <f>IF(OR(D30="",E30=""),"",WORKDAY(D30,E30-1,Holidays!$A$4:$A$60))</f>
        <v/>
      </c>
      <c r="G30" s="3" t="n"/>
      <c r="H30" s="9" t="n"/>
      <c r="I30" s="3" t="n"/>
    </row>
    <row r="31">
      <c r="A31" s="3" t="n">
        <v>27</v>
      </c>
      <c r="B31" s="3" t="n"/>
      <c r="C31" s="3" t="n"/>
      <c r="D31" s="8">
        <f>IF(G31&lt;&gt;"",WORKDAY(INDEX($F$5:$F$64,MATCH(G31,$A$5:$A$64,0)),1,Holidays!$A$4:$A$60),IF(A31=1,Setup!$B$8,""))</f>
        <v/>
      </c>
      <c r="E31" s="3" t="n"/>
      <c r="F31" s="8">
        <f>IF(OR(D31="",E31=""),"",WORKDAY(D31,E31-1,Holidays!$A$4:$A$60))</f>
        <v/>
      </c>
      <c r="G31" s="3" t="n"/>
      <c r="H31" s="9" t="n"/>
      <c r="I31" s="3" t="n"/>
    </row>
    <row r="32">
      <c r="A32" s="3" t="n">
        <v>28</v>
      </c>
      <c r="B32" s="3" t="n"/>
      <c r="C32" s="3" t="n"/>
      <c r="D32" s="8">
        <f>IF(G32&lt;&gt;"",WORKDAY(INDEX($F$5:$F$64,MATCH(G32,$A$5:$A$64,0)),1,Holidays!$A$4:$A$60),IF(A32=1,Setup!$B$8,""))</f>
        <v/>
      </c>
      <c r="E32" s="3" t="n"/>
      <c r="F32" s="8">
        <f>IF(OR(D32="",E32=""),"",WORKDAY(D32,E32-1,Holidays!$A$4:$A$60))</f>
        <v/>
      </c>
      <c r="G32" s="3" t="n"/>
      <c r="H32" s="9" t="n"/>
      <c r="I32" s="3" t="n"/>
    </row>
    <row r="33">
      <c r="A33" s="3" t="n">
        <v>29</v>
      </c>
      <c r="B33" s="3" t="n"/>
      <c r="C33" s="3" t="n"/>
      <c r="D33" s="8">
        <f>IF(G33&lt;&gt;"",WORKDAY(INDEX($F$5:$F$64,MATCH(G33,$A$5:$A$64,0)),1,Holidays!$A$4:$A$60),IF(A33=1,Setup!$B$8,""))</f>
        <v/>
      </c>
      <c r="E33" s="3" t="n"/>
      <c r="F33" s="8">
        <f>IF(OR(D33="",E33=""),"",WORKDAY(D33,E33-1,Holidays!$A$4:$A$60))</f>
        <v/>
      </c>
      <c r="G33" s="3" t="n"/>
      <c r="H33" s="9" t="n"/>
      <c r="I33" s="3" t="n"/>
    </row>
    <row r="34">
      <c r="A34" s="3" t="n">
        <v>30</v>
      </c>
      <c r="B34" s="3" t="n"/>
      <c r="C34" s="3" t="n"/>
      <c r="D34" s="8">
        <f>IF(G34&lt;&gt;"",WORKDAY(INDEX($F$5:$F$64,MATCH(G34,$A$5:$A$64,0)),1,Holidays!$A$4:$A$60),IF(A34=1,Setup!$B$8,""))</f>
        <v/>
      </c>
      <c r="E34" s="3" t="n"/>
      <c r="F34" s="8">
        <f>IF(OR(D34="",E34=""),"",WORKDAY(D34,E34-1,Holidays!$A$4:$A$60))</f>
        <v/>
      </c>
      <c r="G34" s="3" t="n"/>
      <c r="H34" s="9" t="n"/>
      <c r="I34" s="3" t="n"/>
    </row>
    <row r="35">
      <c r="A35" s="3" t="n">
        <v>31</v>
      </c>
      <c r="B35" s="3" t="n"/>
      <c r="C35" s="3" t="n"/>
      <c r="D35" s="8">
        <f>IF(G35&lt;&gt;"",WORKDAY(INDEX($F$5:$F$64,MATCH(G35,$A$5:$A$64,0)),1,Holidays!$A$4:$A$60),IF(A35=1,Setup!$B$8,""))</f>
        <v/>
      </c>
      <c r="E35" s="3" t="n"/>
      <c r="F35" s="8">
        <f>IF(OR(D35="",E35=""),"",WORKDAY(D35,E35-1,Holidays!$A$4:$A$60))</f>
        <v/>
      </c>
      <c r="G35" s="3" t="n"/>
      <c r="H35" s="9" t="n"/>
      <c r="I35" s="3" t="n"/>
    </row>
    <row r="36">
      <c r="A36" s="3" t="n">
        <v>32</v>
      </c>
      <c r="B36" s="3" t="n"/>
      <c r="C36" s="3" t="n"/>
      <c r="D36" s="8">
        <f>IF(G36&lt;&gt;"",WORKDAY(INDEX($F$5:$F$64,MATCH(G36,$A$5:$A$64,0)),1,Holidays!$A$4:$A$60),IF(A36=1,Setup!$B$8,""))</f>
        <v/>
      </c>
      <c r="E36" s="3" t="n"/>
      <c r="F36" s="8">
        <f>IF(OR(D36="",E36=""),"",WORKDAY(D36,E36-1,Holidays!$A$4:$A$60))</f>
        <v/>
      </c>
      <c r="G36" s="3" t="n"/>
      <c r="H36" s="9" t="n"/>
      <c r="I36" s="3" t="n"/>
    </row>
    <row r="37">
      <c r="A37" s="3" t="n">
        <v>33</v>
      </c>
      <c r="B37" s="3" t="n"/>
      <c r="C37" s="3" t="n"/>
      <c r="D37" s="8">
        <f>IF(G37&lt;&gt;"",WORKDAY(INDEX($F$5:$F$64,MATCH(G37,$A$5:$A$64,0)),1,Holidays!$A$4:$A$60),IF(A37=1,Setup!$B$8,""))</f>
        <v/>
      </c>
      <c r="E37" s="3" t="n"/>
      <c r="F37" s="8">
        <f>IF(OR(D37="",E37=""),"",WORKDAY(D37,E37-1,Holidays!$A$4:$A$60))</f>
        <v/>
      </c>
      <c r="G37" s="3" t="n"/>
      <c r="H37" s="9" t="n"/>
      <c r="I37" s="3" t="n"/>
    </row>
    <row r="38">
      <c r="A38" s="3" t="n">
        <v>34</v>
      </c>
      <c r="B38" s="3" t="n"/>
      <c r="C38" s="3" t="n"/>
      <c r="D38" s="8">
        <f>IF(G38&lt;&gt;"",WORKDAY(INDEX($F$5:$F$64,MATCH(G38,$A$5:$A$64,0)),1,Holidays!$A$4:$A$60),IF(A38=1,Setup!$B$8,""))</f>
        <v/>
      </c>
      <c r="E38" s="3" t="n"/>
      <c r="F38" s="8">
        <f>IF(OR(D38="",E38=""),"",WORKDAY(D38,E38-1,Holidays!$A$4:$A$60))</f>
        <v/>
      </c>
      <c r="G38" s="3" t="n"/>
      <c r="H38" s="9" t="n"/>
      <c r="I38" s="3" t="n"/>
    </row>
    <row r="39">
      <c r="A39" s="3" t="n">
        <v>35</v>
      </c>
      <c r="B39" s="3" t="n"/>
      <c r="C39" s="3" t="n"/>
      <c r="D39" s="8">
        <f>IF(G39&lt;&gt;"",WORKDAY(INDEX($F$5:$F$64,MATCH(G39,$A$5:$A$64,0)),1,Holidays!$A$4:$A$60),IF(A39=1,Setup!$B$8,""))</f>
        <v/>
      </c>
      <c r="E39" s="3" t="n"/>
      <c r="F39" s="8">
        <f>IF(OR(D39="",E39=""),"",WORKDAY(D39,E39-1,Holidays!$A$4:$A$60))</f>
        <v/>
      </c>
      <c r="G39" s="3" t="n"/>
      <c r="H39" s="9" t="n"/>
      <c r="I39" s="3" t="n"/>
    </row>
    <row r="40">
      <c r="A40" s="3" t="n">
        <v>36</v>
      </c>
      <c r="B40" s="3" t="n"/>
      <c r="C40" s="3" t="n"/>
      <c r="D40" s="8">
        <f>IF(G40&lt;&gt;"",WORKDAY(INDEX($F$5:$F$64,MATCH(G40,$A$5:$A$64,0)),1,Holidays!$A$4:$A$60),IF(A40=1,Setup!$B$8,""))</f>
        <v/>
      </c>
      <c r="E40" s="3" t="n"/>
      <c r="F40" s="8">
        <f>IF(OR(D40="",E40=""),"",WORKDAY(D40,E40-1,Holidays!$A$4:$A$60))</f>
        <v/>
      </c>
      <c r="G40" s="3" t="n"/>
      <c r="H40" s="9" t="n"/>
      <c r="I40" s="3" t="n"/>
    </row>
    <row r="41">
      <c r="A41" s="3" t="n">
        <v>37</v>
      </c>
      <c r="B41" s="3" t="n"/>
      <c r="C41" s="3" t="n"/>
      <c r="D41" s="8">
        <f>IF(G41&lt;&gt;"",WORKDAY(INDEX($F$5:$F$64,MATCH(G41,$A$5:$A$64,0)),1,Holidays!$A$4:$A$60),IF(A41=1,Setup!$B$8,""))</f>
        <v/>
      </c>
      <c r="E41" s="3" t="n"/>
      <c r="F41" s="8">
        <f>IF(OR(D41="",E41=""),"",WORKDAY(D41,E41-1,Holidays!$A$4:$A$60))</f>
        <v/>
      </c>
      <c r="G41" s="3" t="n"/>
      <c r="H41" s="9" t="n"/>
      <c r="I41" s="3" t="n"/>
    </row>
    <row r="42">
      <c r="A42" s="3" t="n">
        <v>38</v>
      </c>
      <c r="B42" s="3" t="n"/>
      <c r="C42" s="3" t="n"/>
      <c r="D42" s="8">
        <f>IF(G42&lt;&gt;"",WORKDAY(INDEX($F$5:$F$64,MATCH(G42,$A$5:$A$64,0)),1,Holidays!$A$4:$A$60),IF(A42=1,Setup!$B$8,""))</f>
        <v/>
      </c>
      <c r="E42" s="3" t="n"/>
      <c r="F42" s="8">
        <f>IF(OR(D42="",E42=""),"",WORKDAY(D42,E42-1,Holidays!$A$4:$A$60))</f>
        <v/>
      </c>
      <c r="G42" s="3" t="n"/>
      <c r="H42" s="9" t="n"/>
      <c r="I42" s="3" t="n"/>
    </row>
    <row r="43">
      <c r="A43" s="3" t="n">
        <v>39</v>
      </c>
      <c r="B43" s="3" t="n"/>
      <c r="C43" s="3" t="n"/>
      <c r="D43" s="8">
        <f>IF(G43&lt;&gt;"",WORKDAY(INDEX($F$5:$F$64,MATCH(G43,$A$5:$A$64,0)),1,Holidays!$A$4:$A$60),IF(A43=1,Setup!$B$8,""))</f>
        <v/>
      </c>
      <c r="E43" s="3" t="n"/>
      <c r="F43" s="8">
        <f>IF(OR(D43="",E43=""),"",WORKDAY(D43,E43-1,Holidays!$A$4:$A$60))</f>
        <v/>
      </c>
      <c r="G43" s="3" t="n"/>
      <c r="H43" s="9" t="n"/>
      <c r="I43" s="3" t="n"/>
    </row>
    <row r="44">
      <c r="A44" s="3" t="n">
        <v>40</v>
      </c>
      <c r="B44" s="3" t="n"/>
      <c r="C44" s="3" t="n"/>
      <c r="D44" s="8">
        <f>IF(G44&lt;&gt;"",WORKDAY(INDEX($F$5:$F$64,MATCH(G44,$A$5:$A$64,0)),1,Holidays!$A$4:$A$60),IF(A44=1,Setup!$B$8,""))</f>
        <v/>
      </c>
      <c r="E44" s="3" t="n"/>
      <c r="F44" s="8">
        <f>IF(OR(D44="",E44=""),"",WORKDAY(D44,E44-1,Holidays!$A$4:$A$60))</f>
        <v/>
      </c>
      <c r="G44" s="3" t="n"/>
      <c r="H44" s="9" t="n"/>
      <c r="I44" s="3" t="n"/>
    </row>
    <row r="45">
      <c r="A45" s="3" t="n">
        <v>41</v>
      </c>
      <c r="B45" s="3" t="n"/>
      <c r="C45" s="3" t="n"/>
      <c r="D45" s="8">
        <f>IF(G45&lt;&gt;"",WORKDAY(INDEX($F$5:$F$64,MATCH(G45,$A$5:$A$64,0)),1,Holidays!$A$4:$A$60),IF(A45=1,Setup!$B$8,""))</f>
        <v/>
      </c>
      <c r="E45" s="3" t="n"/>
      <c r="F45" s="8">
        <f>IF(OR(D45="",E45=""),"",WORKDAY(D45,E45-1,Holidays!$A$4:$A$60))</f>
        <v/>
      </c>
      <c r="G45" s="3" t="n"/>
      <c r="H45" s="9" t="n"/>
      <c r="I45" s="3" t="n"/>
    </row>
    <row r="46">
      <c r="A46" s="3" t="n">
        <v>42</v>
      </c>
      <c r="B46" s="3" t="n"/>
      <c r="C46" s="3" t="n"/>
      <c r="D46" s="8">
        <f>IF(G46&lt;&gt;"",WORKDAY(INDEX($F$5:$F$64,MATCH(G46,$A$5:$A$64,0)),1,Holidays!$A$4:$A$60),IF(A46=1,Setup!$B$8,""))</f>
        <v/>
      </c>
      <c r="E46" s="3" t="n"/>
      <c r="F46" s="8">
        <f>IF(OR(D46="",E46=""),"",WORKDAY(D46,E46-1,Holidays!$A$4:$A$60))</f>
        <v/>
      </c>
      <c r="G46" s="3" t="n"/>
      <c r="H46" s="9" t="n"/>
      <c r="I46" s="3" t="n"/>
    </row>
    <row r="47">
      <c r="A47" s="3" t="n">
        <v>43</v>
      </c>
      <c r="B47" s="3" t="n"/>
      <c r="C47" s="3" t="n"/>
      <c r="D47" s="8">
        <f>IF(G47&lt;&gt;"",WORKDAY(INDEX($F$5:$F$64,MATCH(G47,$A$5:$A$64,0)),1,Holidays!$A$4:$A$60),IF(A47=1,Setup!$B$8,""))</f>
        <v/>
      </c>
      <c r="E47" s="3" t="n"/>
      <c r="F47" s="8">
        <f>IF(OR(D47="",E47=""),"",WORKDAY(D47,E47-1,Holidays!$A$4:$A$60))</f>
        <v/>
      </c>
      <c r="G47" s="3" t="n"/>
      <c r="H47" s="9" t="n"/>
      <c r="I47" s="3" t="n"/>
    </row>
    <row r="48">
      <c r="A48" s="3" t="n">
        <v>44</v>
      </c>
      <c r="B48" s="3" t="n"/>
      <c r="C48" s="3" t="n"/>
      <c r="D48" s="8">
        <f>IF(G48&lt;&gt;"",WORKDAY(INDEX($F$5:$F$64,MATCH(G48,$A$5:$A$64,0)),1,Holidays!$A$4:$A$60),IF(A48=1,Setup!$B$8,""))</f>
        <v/>
      </c>
      <c r="E48" s="3" t="n"/>
      <c r="F48" s="8">
        <f>IF(OR(D48="",E48=""),"",WORKDAY(D48,E48-1,Holidays!$A$4:$A$60))</f>
        <v/>
      </c>
      <c r="G48" s="3" t="n"/>
      <c r="H48" s="9" t="n"/>
      <c r="I48" s="3" t="n"/>
    </row>
    <row r="49">
      <c r="A49" s="3" t="n">
        <v>45</v>
      </c>
      <c r="B49" s="3" t="n"/>
      <c r="C49" s="3" t="n"/>
      <c r="D49" s="8">
        <f>IF(G49&lt;&gt;"",WORKDAY(INDEX($F$5:$F$64,MATCH(G49,$A$5:$A$64,0)),1,Holidays!$A$4:$A$60),IF(A49=1,Setup!$B$8,""))</f>
        <v/>
      </c>
      <c r="E49" s="3" t="n"/>
      <c r="F49" s="8">
        <f>IF(OR(D49="",E49=""),"",WORKDAY(D49,E49-1,Holidays!$A$4:$A$60))</f>
        <v/>
      </c>
      <c r="G49" s="3" t="n"/>
      <c r="H49" s="9" t="n"/>
      <c r="I49" s="3" t="n"/>
    </row>
    <row r="50">
      <c r="A50" s="3" t="n">
        <v>46</v>
      </c>
      <c r="B50" s="3" t="n"/>
      <c r="C50" s="3" t="n"/>
      <c r="D50" s="8">
        <f>IF(G50&lt;&gt;"",WORKDAY(INDEX($F$5:$F$64,MATCH(G50,$A$5:$A$64,0)),1,Holidays!$A$4:$A$60),IF(A50=1,Setup!$B$8,""))</f>
        <v/>
      </c>
      <c r="E50" s="3" t="n"/>
      <c r="F50" s="8">
        <f>IF(OR(D50="",E50=""),"",WORKDAY(D50,E50-1,Holidays!$A$4:$A$60))</f>
        <v/>
      </c>
      <c r="G50" s="3" t="n"/>
      <c r="H50" s="9" t="n"/>
      <c r="I50" s="3" t="n"/>
    </row>
    <row r="51">
      <c r="A51" s="3" t="n">
        <v>47</v>
      </c>
      <c r="B51" s="3" t="n"/>
      <c r="C51" s="3" t="n"/>
      <c r="D51" s="8">
        <f>IF(G51&lt;&gt;"",WORKDAY(INDEX($F$5:$F$64,MATCH(G51,$A$5:$A$64,0)),1,Holidays!$A$4:$A$60),IF(A51=1,Setup!$B$8,""))</f>
        <v/>
      </c>
      <c r="E51" s="3" t="n"/>
      <c r="F51" s="8">
        <f>IF(OR(D51="",E51=""),"",WORKDAY(D51,E51-1,Holidays!$A$4:$A$60))</f>
        <v/>
      </c>
      <c r="G51" s="3" t="n"/>
      <c r="H51" s="9" t="n"/>
      <c r="I51" s="3" t="n"/>
    </row>
    <row r="52">
      <c r="A52" s="3" t="n">
        <v>48</v>
      </c>
      <c r="B52" s="3" t="n"/>
      <c r="C52" s="3" t="n"/>
      <c r="D52" s="8">
        <f>IF(G52&lt;&gt;"",WORKDAY(INDEX($F$5:$F$64,MATCH(G52,$A$5:$A$64,0)),1,Holidays!$A$4:$A$60),IF(A52=1,Setup!$B$8,""))</f>
        <v/>
      </c>
      <c r="E52" s="3" t="n"/>
      <c r="F52" s="8">
        <f>IF(OR(D52="",E52=""),"",WORKDAY(D52,E52-1,Holidays!$A$4:$A$60))</f>
        <v/>
      </c>
      <c r="G52" s="3" t="n"/>
      <c r="H52" s="9" t="n"/>
      <c r="I52" s="3" t="n"/>
    </row>
    <row r="53">
      <c r="A53" s="3" t="n">
        <v>49</v>
      </c>
      <c r="B53" s="3" t="n"/>
      <c r="C53" s="3" t="n"/>
      <c r="D53" s="8">
        <f>IF(G53&lt;&gt;"",WORKDAY(INDEX($F$5:$F$64,MATCH(G53,$A$5:$A$64,0)),1,Holidays!$A$4:$A$60),IF(A53=1,Setup!$B$8,""))</f>
        <v/>
      </c>
      <c r="E53" s="3" t="n"/>
      <c r="F53" s="8">
        <f>IF(OR(D53="",E53=""),"",WORKDAY(D53,E53-1,Holidays!$A$4:$A$60))</f>
        <v/>
      </c>
      <c r="G53" s="3" t="n"/>
      <c r="H53" s="9" t="n"/>
      <c r="I53" s="3" t="n"/>
    </row>
    <row r="54">
      <c r="A54" s="3" t="n">
        <v>50</v>
      </c>
      <c r="B54" s="3" t="n"/>
      <c r="C54" s="3" t="n"/>
      <c r="D54" s="8">
        <f>IF(G54&lt;&gt;"",WORKDAY(INDEX($F$5:$F$64,MATCH(G54,$A$5:$A$64,0)),1,Holidays!$A$4:$A$60),IF(A54=1,Setup!$B$8,""))</f>
        <v/>
      </c>
      <c r="E54" s="3" t="n"/>
      <c r="F54" s="8">
        <f>IF(OR(D54="",E54=""),"",WORKDAY(D54,E54-1,Holidays!$A$4:$A$60))</f>
        <v/>
      </c>
      <c r="G54" s="3" t="n"/>
      <c r="H54" s="9" t="n"/>
      <c r="I54" s="3" t="n"/>
    </row>
    <row r="55">
      <c r="A55" s="3" t="n">
        <v>51</v>
      </c>
      <c r="B55" s="3" t="n"/>
      <c r="C55" s="3" t="n"/>
      <c r="D55" s="8">
        <f>IF(G55&lt;&gt;"",WORKDAY(INDEX($F$5:$F$64,MATCH(G55,$A$5:$A$64,0)),1,Holidays!$A$4:$A$60),IF(A55=1,Setup!$B$8,""))</f>
        <v/>
      </c>
      <c r="E55" s="3" t="n"/>
      <c r="F55" s="8">
        <f>IF(OR(D55="",E55=""),"",WORKDAY(D55,E55-1,Holidays!$A$4:$A$60))</f>
        <v/>
      </c>
      <c r="G55" s="3" t="n"/>
      <c r="H55" s="9" t="n"/>
      <c r="I55" s="3" t="n"/>
    </row>
    <row r="56">
      <c r="A56" s="3" t="n">
        <v>52</v>
      </c>
      <c r="B56" s="3" t="n"/>
      <c r="C56" s="3" t="n"/>
      <c r="D56" s="8">
        <f>IF(G56&lt;&gt;"",WORKDAY(INDEX($F$5:$F$64,MATCH(G56,$A$5:$A$64,0)),1,Holidays!$A$4:$A$60),IF(A56=1,Setup!$B$8,""))</f>
        <v/>
      </c>
      <c r="E56" s="3" t="n"/>
      <c r="F56" s="8">
        <f>IF(OR(D56="",E56=""),"",WORKDAY(D56,E56-1,Holidays!$A$4:$A$60))</f>
        <v/>
      </c>
      <c r="G56" s="3" t="n"/>
      <c r="H56" s="9" t="n"/>
      <c r="I56" s="3" t="n"/>
    </row>
    <row r="57">
      <c r="A57" s="3" t="n">
        <v>53</v>
      </c>
      <c r="B57" s="3" t="n"/>
      <c r="C57" s="3" t="n"/>
      <c r="D57" s="8">
        <f>IF(G57&lt;&gt;"",WORKDAY(INDEX($F$5:$F$64,MATCH(G57,$A$5:$A$64,0)),1,Holidays!$A$4:$A$60),IF(A57=1,Setup!$B$8,""))</f>
        <v/>
      </c>
      <c r="E57" s="3" t="n"/>
      <c r="F57" s="8">
        <f>IF(OR(D57="",E57=""),"",WORKDAY(D57,E57-1,Holidays!$A$4:$A$60))</f>
        <v/>
      </c>
      <c r="G57" s="3" t="n"/>
      <c r="H57" s="9" t="n"/>
      <c r="I57" s="3" t="n"/>
    </row>
    <row r="58">
      <c r="A58" s="3" t="n">
        <v>54</v>
      </c>
      <c r="B58" s="3" t="n"/>
      <c r="C58" s="3" t="n"/>
      <c r="D58" s="8">
        <f>IF(G58&lt;&gt;"",WORKDAY(INDEX($F$5:$F$64,MATCH(G58,$A$5:$A$64,0)),1,Holidays!$A$4:$A$60),IF(A58=1,Setup!$B$8,""))</f>
        <v/>
      </c>
      <c r="E58" s="3" t="n"/>
      <c r="F58" s="8">
        <f>IF(OR(D58="",E58=""),"",WORKDAY(D58,E58-1,Holidays!$A$4:$A$60))</f>
        <v/>
      </c>
      <c r="G58" s="3" t="n"/>
      <c r="H58" s="9" t="n"/>
      <c r="I58" s="3" t="n"/>
    </row>
    <row r="59">
      <c r="A59" s="3" t="n">
        <v>55</v>
      </c>
      <c r="B59" s="3" t="n"/>
      <c r="C59" s="3" t="n"/>
      <c r="D59" s="8">
        <f>IF(G59&lt;&gt;"",WORKDAY(INDEX($F$5:$F$64,MATCH(G59,$A$5:$A$64,0)),1,Holidays!$A$4:$A$60),IF(A59=1,Setup!$B$8,""))</f>
        <v/>
      </c>
      <c r="E59" s="3" t="n"/>
      <c r="F59" s="8">
        <f>IF(OR(D59="",E59=""),"",WORKDAY(D59,E59-1,Holidays!$A$4:$A$60))</f>
        <v/>
      </c>
      <c r="G59" s="3" t="n"/>
      <c r="H59" s="9" t="n"/>
      <c r="I59" s="3" t="n"/>
    </row>
    <row r="60">
      <c r="A60" s="3" t="n">
        <v>56</v>
      </c>
      <c r="B60" s="3" t="n"/>
      <c r="C60" s="3" t="n"/>
      <c r="D60" s="8">
        <f>IF(G60&lt;&gt;"",WORKDAY(INDEX($F$5:$F$64,MATCH(G60,$A$5:$A$64,0)),1,Holidays!$A$4:$A$60),IF(A60=1,Setup!$B$8,""))</f>
        <v/>
      </c>
      <c r="E60" s="3" t="n"/>
      <c r="F60" s="8">
        <f>IF(OR(D60="",E60=""),"",WORKDAY(D60,E60-1,Holidays!$A$4:$A$60))</f>
        <v/>
      </c>
      <c r="G60" s="3" t="n"/>
      <c r="H60" s="9" t="n"/>
      <c r="I60" s="3" t="n"/>
    </row>
    <row r="61">
      <c r="A61" s="3" t="n">
        <v>57</v>
      </c>
      <c r="B61" s="3" t="n"/>
      <c r="C61" s="3" t="n"/>
      <c r="D61" s="8">
        <f>IF(G61&lt;&gt;"",WORKDAY(INDEX($F$5:$F$64,MATCH(G61,$A$5:$A$64,0)),1,Holidays!$A$4:$A$60),IF(A61=1,Setup!$B$8,""))</f>
        <v/>
      </c>
      <c r="E61" s="3" t="n"/>
      <c r="F61" s="8">
        <f>IF(OR(D61="",E61=""),"",WORKDAY(D61,E61-1,Holidays!$A$4:$A$60))</f>
        <v/>
      </c>
      <c r="G61" s="3" t="n"/>
      <c r="H61" s="9" t="n"/>
      <c r="I61" s="3" t="n"/>
    </row>
    <row r="62">
      <c r="A62" s="3" t="n">
        <v>58</v>
      </c>
      <c r="B62" s="3" t="n"/>
      <c r="C62" s="3" t="n"/>
      <c r="D62" s="8">
        <f>IF(G62&lt;&gt;"",WORKDAY(INDEX($F$5:$F$64,MATCH(G62,$A$5:$A$64,0)),1,Holidays!$A$4:$A$60),IF(A62=1,Setup!$B$8,""))</f>
        <v/>
      </c>
      <c r="E62" s="3" t="n"/>
      <c r="F62" s="8">
        <f>IF(OR(D62="",E62=""),"",WORKDAY(D62,E62-1,Holidays!$A$4:$A$60))</f>
        <v/>
      </c>
      <c r="G62" s="3" t="n"/>
      <c r="H62" s="9" t="n"/>
      <c r="I62" s="3" t="n"/>
    </row>
    <row r="63">
      <c r="A63" s="3" t="n">
        <v>59</v>
      </c>
      <c r="B63" s="3" t="n"/>
      <c r="C63" s="3" t="n"/>
      <c r="D63" s="8">
        <f>IF(G63&lt;&gt;"",WORKDAY(INDEX($F$5:$F$64,MATCH(G63,$A$5:$A$64,0)),1,Holidays!$A$4:$A$60),IF(A63=1,Setup!$B$8,""))</f>
        <v/>
      </c>
      <c r="E63" s="3" t="n"/>
      <c r="F63" s="8">
        <f>IF(OR(D63="",E63=""),"",WORKDAY(D63,E63-1,Holidays!$A$4:$A$60))</f>
        <v/>
      </c>
      <c r="G63" s="3" t="n"/>
      <c r="H63" s="9" t="n"/>
      <c r="I63" s="3" t="n"/>
    </row>
    <row r="64">
      <c r="A64" s="3" t="n">
        <v>60</v>
      </c>
      <c r="B64" s="3" t="n"/>
      <c r="C64" s="3" t="n"/>
      <c r="D64" s="8">
        <f>IF(G64&lt;&gt;"",WORKDAY(INDEX($F$5:$F$64,MATCH(G64,$A$5:$A$64,0)),1,Holidays!$A$4:$A$60),IF(A64=1,Setup!$B$8,""))</f>
        <v/>
      </c>
      <c r="E64" s="3" t="n"/>
      <c r="F64" s="8">
        <f>IF(OR(D64="",E64=""),"",WORKDAY(D64,E64-1,Holidays!$A$4:$A$60))</f>
        <v/>
      </c>
      <c r="G64" s="3" t="n"/>
      <c r="H64" s="9" t="n"/>
      <c r="I64" s="3" t="n"/>
    </row>
  </sheetData>
  <conditionalFormatting sqref="J5:AI64">
    <cfRule type="expression" priority="1" dxfId="0">
      <formula>AND($D5&lt;&gt;"",$F5&lt;&gt;"",J$4+6&gt;=$D5,J$4&lt;=$F5)</formula>
    </cfRule>
  </conditionalFormatting>
  <dataValidations count="1">
    <dataValidation sqref="H5:H64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0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NON-WORKING DAYS</t>
        </is>
      </c>
    </row>
    <row r="3">
      <c r="A3" s="10" t="inlineStr">
        <is>
          <t>Date</t>
        </is>
      </c>
      <c r="B3" s="10" t="inlineStr">
        <is>
          <t>Reason</t>
        </is>
      </c>
    </row>
    <row r="4">
      <c r="A4" s="11" t="n"/>
    </row>
    <row r="5">
      <c r="A5" s="11" t="n"/>
    </row>
    <row r="6">
      <c r="A6" s="11" t="n"/>
    </row>
    <row r="7">
      <c r="A7" s="11" t="n"/>
    </row>
    <row r="8">
      <c r="A8" s="11" t="n"/>
    </row>
    <row r="9">
      <c r="A9" s="11" t="n"/>
    </row>
    <row r="10">
      <c r="A10" s="11" t="n"/>
    </row>
    <row r="11">
      <c r="A11" s="11" t="n"/>
    </row>
    <row r="12">
      <c r="A12" s="11" t="n"/>
    </row>
    <row r="13">
      <c r="A13" s="11" t="n"/>
    </row>
    <row r="14">
      <c r="A14" s="11" t="n"/>
    </row>
    <row r="15">
      <c r="A15" s="11" t="n"/>
    </row>
    <row r="16">
      <c r="A16" s="11" t="n"/>
    </row>
    <row r="17">
      <c r="A17" s="11" t="n"/>
    </row>
    <row r="18">
      <c r="A18" s="11" t="n"/>
    </row>
    <row r="19">
      <c r="A19" s="11" t="n"/>
    </row>
    <row r="20">
      <c r="A20" s="11" t="n"/>
    </row>
    <row r="21">
      <c r="A21" s="11" t="n"/>
    </row>
    <row r="22">
      <c r="A22" s="11" t="n"/>
    </row>
    <row r="23">
      <c r="A23" s="11" t="n"/>
    </row>
    <row r="24">
      <c r="A24" s="11" t="n"/>
    </row>
    <row r="25">
      <c r="A25" s="11" t="n"/>
    </row>
    <row r="26">
      <c r="A26" s="11" t="n"/>
    </row>
    <row r="27">
      <c r="A27" s="11" t="n"/>
    </row>
    <row r="28">
      <c r="A28" s="11" t="n"/>
    </row>
    <row r="29">
      <c r="A29" s="11" t="n"/>
    </row>
    <row r="30">
      <c r="A30" s="11" t="n"/>
    </row>
    <row r="31">
      <c r="A31" s="11" t="n"/>
    </row>
    <row r="32">
      <c r="A32" s="11" t="n"/>
    </row>
    <row r="33">
      <c r="A33" s="11" t="n"/>
    </row>
    <row r="34">
      <c r="A34" s="11" t="n"/>
    </row>
    <row r="35">
      <c r="A35" s="11" t="n"/>
    </row>
    <row r="36">
      <c r="A36" s="11" t="n"/>
    </row>
    <row r="37">
      <c r="A37" s="11" t="n"/>
    </row>
    <row r="38">
      <c r="A38" s="11" t="n"/>
    </row>
    <row r="39">
      <c r="A39" s="11" t="n"/>
    </row>
    <row r="40">
      <c r="A40" s="11" t="n"/>
    </row>
    <row r="41">
      <c r="A41" s="11" t="n"/>
    </row>
    <row r="42">
      <c r="A42" s="11" t="n"/>
    </row>
    <row r="43">
      <c r="A43" s="11" t="n"/>
    </row>
    <row r="44">
      <c r="A44" s="11" t="n"/>
    </row>
    <row r="45">
      <c r="A45" s="11" t="n"/>
    </row>
    <row r="46">
      <c r="A46" s="11" t="n"/>
    </row>
    <row r="47">
      <c r="A47" s="11" t="n"/>
    </row>
    <row r="48">
      <c r="A48" s="11" t="n"/>
    </row>
    <row r="49">
      <c r="A49" s="11" t="n"/>
    </row>
    <row r="50">
      <c r="A50" s="11" t="n"/>
    </row>
    <row r="51">
      <c r="A51" s="11" t="n"/>
    </row>
    <row r="52">
      <c r="A52" s="11" t="n"/>
    </row>
    <row r="53">
      <c r="A53" s="11" t="n"/>
    </row>
    <row r="54">
      <c r="A54" s="11" t="n"/>
    </row>
    <row r="55">
      <c r="A55" s="11" t="n"/>
    </row>
    <row r="56">
      <c r="A56" s="11" t="n"/>
    </row>
    <row r="57">
      <c r="A57" s="11" t="n"/>
    </row>
    <row r="58">
      <c r="A58" s="11" t="n"/>
    </row>
    <row r="59">
      <c r="A59" s="11" t="n"/>
    </row>
    <row r="60">
      <c r="A60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90" customWidth="1" min="2" max="2"/>
  </cols>
  <sheetData>
    <row r="1">
      <c r="A1" s="1" t="inlineStr">
        <is>
          <t>HOW TO USE THIS WORKBOOK</t>
        </is>
      </c>
    </row>
    <row r="3">
      <c r="A3" s="12" t="inlineStr">
        <is>
          <t>STEP 1:</t>
        </is>
      </c>
      <c r="B3" s="13" t="inlineStr">
        <is>
          <t>Fill in Setup. The Start Date is the first day on site.</t>
        </is>
      </c>
    </row>
    <row r="4">
      <c r="A4" s="12" t="inlineStr">
        <is>
          <t>STEP 2:</t>
        </is>
      </c>
      <c r="B4" s="13" t="inlineStr">
        <is>
          <t>On Holidays, list public holidays, the industry shutdown (RDOs if you take them) and any other non-working days for the job's state.</t>
        </is>
      </c>
    </row>
    <row r="5">
      <c r="A5" s="12" t="inlineStr">
        <is>
          <t>STEP 3:</t>
        </is>
      </c>
      <c r="B5" s="13" t="inlineStr">
        <is>
          <t>On Program, list tasks in order. Give each a duration in working days. Put the ID of the task it follows in Predecessor ID and the start and finish dates calculate themselves; leave Predecessor ID blank and type a Start date for a task that doesn't follow another.</t>
        </is>
      </c>
    </row>
    <row r="6">
      <c r="A6" s="12" t="inlineStr">
        <is>
          <t>STEP 4:</t>
        </is>
      </c>
      <c r="B6" s="13" t="inlineStr">
        <is>
          <t>The bars show each task against week-commencing dates. Update % Complete each week.</t>
        </is>
      </c>
    </row>
    <row r="7">
      <c r="A7" s="12" t="inlineStr">
        <is>
          <t>STEP 5:</t>
        </is>
      </c>
      <c r="B7" s="13" t="inlineStr">
        <is>
          <t>If the program slips past the contract completion date, issue a Delay Notification for any delay you are entitled to an extension of time for.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2026-10-16T23:13:49Z</dcterms:created>
  <dcterms:modified xmlns:dcterms="http://purl.org/dc/terms/" xmlns:xsi="http://www.w3.org/2001/XMLSchema-instance" xsi:type="dcterms:W3CDTF">2026-10-16T23:13:49Z</dcterms:modified>
</cp:coreProperties>
</file>