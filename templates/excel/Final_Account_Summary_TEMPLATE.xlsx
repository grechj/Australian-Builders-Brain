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Final Account" sheetId="2" state="visible" r:id="rId2"/>
    <sheet xmlns:r="http://schemas.openxmlformats.org/officeDocument/2006/relationships" name="Instruction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sz val="11"/>
    </font>
    <font>
      <name val="Cambria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B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0" min="1" max="1"/>
    <col width="40" customWidth="1" style="10" min="2" max="2"/>
  </cols>
  <sheetData>
    <row r="1" ht="15" customHeight="1" s="11">
      <c r="A1" s="12" t="inlineStr">
        <is>
          <t>BUSINESS SETUP</t>
        </is>
      </c>
    </row>
    <row r="2" ht="15" customHeight="1" s="11">
      <c r="A2" s="13" t="inlineStr">
        <is>
          <t>Enter your details — they appear across all sheets.</t>
        </is>
      </c>
    </row>
    <row r="4" ht="15" customHeight="1" s="11">
      <c r="A4" s="14" t="inlineStr">
        <is>
          <t>Business Name:</t>
        </is>
      </c>
      <c r="B4" s="15" t="n"/>
    </row>
    <row r="5" ht="15" customHeight="1" s="11">
      <c r="A5" s="14" t="inlineStr">
        <is>
          <t>ABN:</t>
        </is>
      </c>
      <c r="B5" s="15" t="n"/>
    </row>
    <row r="6" ht="15" customHeight="1" s="11">
      <c r="A6" s="14" t="inlineStr">
        <is>
          <t>Builder Licence:</t>
        </is>
      </c>
      <c r="B6" s="15" t="n"/>
    </row>
    <row r="7" ht="15" customHeight="1" s="11">
      <c r="A7" s="14" t="inlineStr">
        <is>
          <t>Address:</t>
        </is>
      </c>
      <c r="B7" s="15" t="n"/>
    </row>
    <row r="8" ht="15" customHeight="1" s="11">
      <c r="A8" s="14" t="inlineStr">
        <is>
          <t>Phone:</t>
        </is>
      </c>
      <c r="B8" s="15" t="n"/>
    </row>
    <row r="9" ht="15" customHeight="1" s="11">
      <c r="A9" s="14" t="inlineStr">
        <is>
          <t>Email:</t>
        </is>
      </c>
      <c r="B9" s="15" t="n"/>
    </row>
    <row r="11" ht="15" customHeight="1" s="11">
      <c r="A11" s="12" t="inlineStr">
        <is>
          <t>PROJECT SETUP</t>
        </is>
      </c>
    </row>
    <row r="13" ht="15" customHeight="1" s="11">
      <c r="A13" s="14" t="inlineStr">
        <is>
          <t>Project Name:</t>
        </is>
      </c>
      <c r="B13" s="15" t="n"/>
    </row>
    <row r="14" ht="15" customHeight="1" s="11">
      <c r="A14" s="14" t="inlineStr">
        <is>
          <t>Project Address:</t>
        </is>
      </c>
      <c r="B14" s="15" t="n"/>
    </row>
    <row r="15" ht="15" customHeight="1" s="11">
      <c r="A15" s="14" t="inlineStr">
        <is>
          <t>Client Name:</t>
        </is>
      </c>
      <c r="B15" s="15" t="n"/>
    </row>
    <row r="16" ht="15" customHeight="1" s="11">
      <c r="A16" s="14" t="inlineStr">
        <is>
          <t>Contract Number:</t>
        </is>
      </c>
      <c r="B16" s="15" t="n"/>
    </row>
    <row r="17" ht="23.85" customHeight="1" s="11">
      <c r="A17" s="14" t="inlineStr">
        <is>
          <t>Original Contract Sum (excl GST):</t>
        </is>
      </c>
      <c r="B17" s="15" t="n"/>
    </row>
  </sheetData>
  <mergeCells count="2">
    <mergeCell ref="A11:B11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10" min="1" max="1"/>
    <col width="18" customWidth="1" style="10" min="2" max="3"/>
  </cols>
  <sheetData>
    <row r="1" ht="15" customHeight="1" s="11">
      <c r="A1" s="12" t="inlineStr">
        <is>
          <t>FINAL ACCOUNT SUMMARY</t>
        </is>
      </c>
    </row>
    <row r="2" ht="15" customHeight="1" s="11">
      <c r="A2" s="14" t="inlineStr">
        <is>
          <t>Project:</t>
        </is>
      </c>
      <c r="B2" s="15">
        <f>Setup!B13</f>
        <v/>
      </c>
    </row>
    <row r="4" ht="15" customHeight="1" s="11">
      <c r="A4" s="16" t="inlineStr">
        <is>
          <t>CONTRACT ADJUSTMENTS</t>
        </is>
      </c>
      <c r="B4" s="17" t="n"/>
      <c r="C4" s="18" t="n"/>
    </row>
    <row r="5" ht="15" customHeight="1" s="11">
      <c r="A5" s="14" t="inlineStr">
        <is>
          <t>Original Contract Sum (excl GST)</t>
        </is>
      </c>
      <c r="B5" s="19">
        <f>Setup!B17</f>
        <v/>
      </c>
    </row>
    <row r="6" ht="15" customHeight="1" s="11">
      <c r="A6" s="14" t="inlineStr">
        <is>
          <t>Approved Variations (additions)</t>
        </is>
      </c>
      <c r="B6" s="15" t="n"/>
    </row>
    <row r="7" ht="15" customHeight="1" s="11">
      <c r="A7" s="14" t="inlineStr">
        <is>
          <t>Approved Variations (omissions)</t>
        </is>
      </c>
      <c r="B7" s="15" t="n"/>
    </row>
    <row r="8" ht="15" customHeight="1" s="11">
      <c r="A8" s="14" t="inlineStr">
        <is>
          <t>Net Variations</t>
        </is>
      </c>
      <c r="B8" s="19">
        <f>B6-B7</f>
        <v/>
      </c>
    </row>
    <row r="9" ht="15" customHeight="1" s="11">
      <c r="A9" s="14" t="inlineStr">
        <is>
          <t>Adjusted Contract Sum</t>
        </is>
      </c>
      <c r="B9" s="19">
        <f>B5+B8</f>
        <v/>
      </c>
    </row>
    <row r="11" ht="15" customHeight="1" s="11">
      <c r="A11" s="12" t="inlineStr">
        <is>
          <t>CLAIMS SUMMARY</t>
        </is>
      </c>
    </row>
    <row r="12" ht="15" customHeight="1" s="11">
      <c r="A12" s="14" t="inlineStr">
        <is>
          <t>Total Claimed to Date</t>
        </is>
      </c>
      <c r="B12" s="15" t="n"/>
    </row>
    <row r="13" ht="15" customHeight="1" s="11">
      <c r="A13" s="14" t="inlineStr">
        <is>
          <t>Less Retention Held</t>
        </is>
      </c>
      <c r="B13" s="15" t="n"/>
      <c r="C13" t="inlineStr">
        <is>
          <t>Enter as a positive amount</t>
        </is>
      </c>
    </row>
    <row r="14" ht="15" customHeight="1" s="11">
      <c r="A14" s="14" t="inlineStr">
        <is>
          <t>Net Received</t>
        </is>
      </c>
      <c r="B14" s="19">
        <f>B12-ABS(B13)</f>
        <v/>
      </c>
    </row>
    <row r="16" ht="15" customHeight="1" s="11">
      <c r="A16" s="12" t="inlineStr">
        <is>
          <t>FINAL BALANCE</t>
        </is>
      </c>
    </row>
    <row r="17" ht="15" customHeight="1" s="11">
      <c r="A17" s="14" t="inlineStr">
        <is>
          <t>Adjusted Contract Sum</t>
        </is>
      </c>
      <c r="B17" s="19">
        <f>B9</f>
        <v/>
      </c>
    </row>
    <row r="18" ht="15" customHeight="1" s="11">
      <c r="A18" s="14" t="inlineStr">
        <is>
          <t>Less Net Received</t>
        </is>
      </c>
      <c r="B18" s="19">
        <f>B14</f>
        <v/>
      </c>
    </row>
    <row r="19" ht="15" customHeight="1" s="11">
      <c r="A19" s="14" t="inlineStr">
        <is>
          <t>Retention Released Now</t>
        </is>
      </c>
      <c r="B19" s="15" t="n"/>
      <c r="C19" t="inlineStr">
        <is>
          <t>Leave 0 to keep all retention until the end of the defects liability period</t>
        </is>
      </c>
    </row>
    <row r="20" ht="15" customHeight="1" s="11">
      <c r="A20" s="14" t="inlineStr">
        <is>
          <t>FINAL AMOUNT DUE (excl GST)</t>
        </is>
      </c>
      <c r="B20" s="19">
        <f>B17-B18-(ABS(B13)-B19)</f>
        <v/>
      </c>
    </row>
    <row r="21" ht="15" customHeight="1" s="11">
      <c r="A21" s="14" t="inlineStr">
        <is>
          <t>GST (10%)</t>
        </is>
      </c>
      <c r="B21" s="19">
        <f>B20*0.1</f>
        <v/>
      </c>
    </row>
    <row r="22" ht="15" customHeight="1" s="11">
      <c r="A22" s="14" t="inlineStr">
        <is>
          <t>TOTAL FINAL AMOUNT DUE (incl GST)</t>
        </is>
      </c>
      <c r="B22" s="20">
        <f>B20+B21</f>
        <v/>
      </c>
    </row>
  </sheetData>
  <mergeCells count="4">
    <mergeCell ref="A1:C1"/>
    <mergeCell ref="A4:C4"/>
    <mergeCell ref="A11:C11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0" min="1" max="1"/>
    <col width="70" customWidth="1" style="10" min="2" max="2"/>
  </cols>
  <sheetData>
    <row r="1" ht="15" customHeight="1" s="11">
      <c r="A1" s="12" t="inlineStr">
        <is>
          <t>HOW TO USE THIS FINAL ACCOUNT SUMMARY</t>
        </is>
      </c>
    </row>
    <row r="3" ht="15" customHeight="1" s="11">
      <c r="A3" s="21" t="inlineStr">
        <is>
          <t>QUICK START</t>
        </is>
      </c>
    </row>
    <row r="4" ht="15" customHeight="1" s="11">
      <c r="A4" s="21" t="inlineStr">
        <is>
          <t>1. Setup</t>
        </is>
      </c>
      <c r="B4" s="13" t="inlineStr">
        <is>
          <t>Enter contract details.</t>
        </is>
      </c>
    </row>
    <row r="5" ht="15" customHeight="1" s="11">
      <c r="A5" s="21" t="inlineStr">
        <is>
          <t>2. Adjustments</t>
        </is>
      </c>
      <c r="B5" s="13" t="inlineStr">
        <is>
          <t>Enter approved variation totals.</t>
        </is>
      </c>
    </row>
    <row r="6" ht="15" customHeight="1" s="11">
      <c r="A6" s="21" t="inlineStr">
        <is>
          <t>3. Claims</t>
        </is>
      </c>
      <c r="B6" s="13" t="inlineStr">
        <is>
          <t>Enter total claimed and retention held.</t>
        </is>
      </c>
    </row>
    <row r="7" ht="15" customHeight="1" s="11">
      <c r="A7" s="21" t="inlineStr">
        <is>
          <t>4. Final</t>
        </is>
      </c>
      <c r="B7" s="13" t="inlineStr">
        <is>
          <t>The final amount due auto-calculates.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2026-02-06T11:16:03Z</dcterms:created>
  <dcterms:modified xmlns:dcterms="http://purl.org/dc/terms/" xmlns:xsi="http://www.w3.org/2001/XMLSchema-instance" xsi:type="dcterms:W3CDTF">2026-10-16T10:21:06Z</dcterms:modified>
  <cp:revision>0</cp:revision>
</cp:coreProperties>
</file>