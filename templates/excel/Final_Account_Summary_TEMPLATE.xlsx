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Final Account" sheetId="2" state="visible" r:id="rId4"/>
    <sheet name="Instructions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<sst xmlns="http://schemas.openxmlformats.org/spreadsheetml/2006/main" count="43" uniqueCount="42">
  <si>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</si>
  <si>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</si>
  <si>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</si>
  <si>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</si>
  <si>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</si>
  <si>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</si>
  <si>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</si>
  <si>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</si>
  <si>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</si>
  <si>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</si>
  <si>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</si>
  <si>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</si>
  <si>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Contract Number:</t>
  </si>
  <si>
    <t xml:space="preserve">Original Contract Sum (excl GST):</t>
  </si>
  <si>
    <t xml:space="preserve">FINAL ACCOUNT SUMMARY</t>
  </si>
  <si>
    <t xml:space="preserve">Project:</t>
  </si>
  <si>
    <t xml:space="preserve">CONTRACT ADJUSTMENTS</t>
  </si>
  <si>
    <t xml:space="preserve">Original Contract Sum (excl GST)</t>
  </si>
  <si>
    <t xml:space="preserve">Approved Variations (additions)</t>
  </si>
  <si>
    <t xml:space="preserve">Approved Variations (omissions)</t>
  </si>
  <si>
    <t xml:space="preserve">Net Variations</t>
  </si>
  <si>
    <t xml:space="preserve">Adjusted Contract Sum</t>
  </si>
  <si>
    <t xml:space="preserve">CLAIMS SUMMARY</t>
  </si>
  <si>
    <t xml:space="preserve">Total Claimed to Date</t>
  </si>
  <si>
    <t xml:space="preserve">Less Retention Held</t>
  </si>
  <si>
    <t xml:space="preserve">Net Received</t>
  </si>
  <si>
    <t xml:space="preserve">FINAL BALANCE</t>
  </si>
  <si>
    <t xml:space="preserve">Less Net Received</t>
  </si>
  <si>
    <t xml:space="preserve">Retention to be Released</t>
  </si>
  <si>
    <t xml:space="preserve">FINAL AMOUNT DUE (excl GST)</t>
  </si>
  <si>
    <t xml:space="preserve">GST (10%)</t>
  </si>
  <si>
    <t xml:space="preserve">TOTAL FINAL AMOUNT DUE (incl GST)</t>
  </si>
  <si>
    <t xml:space="preserve">HOW TO USE THIS FINAL ACCOUNT SUMMARY</t>
  </si>
  <si>
    <t xml:space="preserve">QUICK START</t>
  </si>
  <si>
    <t xml:space="preserve">1. Setup</t>
  </si>
  <si>
    <t xml:space="preserve">Enter contract details.</t>
  </si>
  <si>
    <t xml:space="preserve">2. Adjustments</t>
  </si>
  <si>
    <t xml:space="preserve">Enter approved variation totals.</t>
  </si>
  <si>
    <t xml:space="preserve">3. Claims</t>
  </si>
  <si>
    <t xml:space="preserve">Enter total claimed and retention held.</t>
  </si>
  <si>
    <t xml:space="preserve">4. Final</t>
  </si>
  <si>
    <t xml:space="preserve">The final amount due auto-calculates.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</si>
</sst>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23.85" hidden="false" customHeight="false" outlineLevel="0" collapsed="false">
      <c r="A17" s="4" t="s">
        <v>13</v>
      </c>
      <c r="B17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8"/>
  </cols>
  <sheetData>
    <row r="1" customFormat="false" ht="15" hidden="false" customHeight="false" outlineLevel="0" collapsed="false">
      <c r="A1" s="2" t="s">
        <v>14</v>
      </c>
      <c r="B1" s="2"/>
      <c r="C1" s="2"/>
    </row>
    <row r="2" customFormat="false" ht="15" hidden="false" customHeight="false" outlineLevel="0" collapsed="false">
      <c r="A2" s="4" t="s">
        <v>15</v>
      </c>
      <c r="B2" s="5" t="n">
        <f aca="false">Setup!B13</f>
        <v>0</v>
      </c>
    </row>
    <row r="4" customFormat="false" ht="15" hidden="false" customHeight="true" outlineLevel="0" collapsed="false">
      <c r="A4" s="6" t="s">
        <v>16</v>
      </c>
      <c r="B4" s="6"/>
      <c r="C4" s="6"/>
    </row>
    <row r="5" customFormat="false" ht="15" hidden="false" customHeight="false" outlineLevel="0" collapsed="false">
      <c r="A5" s="4" t="s">
        <v>17</v>
      </c>
      <c r="B5" s="7" t="n">
        <f aca="false">Setup!B17</f>
        <v>0</v>
      </c>
    </row>
    <row r="6" customFormat="false" ht="15" hidden="false" customHeight="false" outlineLevel="0" collapsed="false">
      <c r="A6" s="4" t="s">
        <v>18</v>
      </c>
      <c r="B6" s="5"/>
    </row>
    <row r="7" customFormat="false" ht="15" hidden="false" customHeight="false" outlineLevel="0" collapsed="false">
      <c r="A7" s="4" t="s">
        <v>19</v>
      </c>
      <c r="B7" s="5"/>
    </row>
    <row r="8" customFormat="false" ht="15" hidden="false" customHeight="false" outlineLevel="0" collapsed="false">
      <c r="A8" s="4" t="s">
        <v>20</v>
      </c>
      <c r="B8" s="7" t="n">
        <f aca="false">B6-B7</f>
        <v>0</v>
      </c>
    </row>
    <row r="9" customFormat="false" ht="15" hidden="false" customHeight="false" outlineLevel="0" collapsed="false">
      <c r="A9" s="4" t="s">
        <v>21</v>
      </c>
      <c r="B9" s="7" t="n">
        <f aca="false">B5+B8</f>
        <v>0</v>
      </c>
    </row>
    <row r="11" customFormat="false" ht="15" hidden="false" customHeight="false" outlineLevel="0" collapsed="false">
      <c r="A11" s="2" t="s">
        <v>22</v>
      </c>
      <c r="B11" s="2"/>
      <c r="C11" s="2"/>
    </row>
    <row r="12" customFormat="false" ht="15" hidden="false" customHeight="false" outlineLevel="0" collapsed="false">
      <c r="A12" s="4" t="s">
        <v>23</v>
      </c>
      <c r="B12" s="5"/>
    </row>
    <row r="13" customFormat="false" ht="15" hidden="false" customHeight="false" outlineLevel="0" collapsed="false">
      <c r="A13" s="4" t="s">
        <v>24</v>
      </c>
      <c r="B13" s="5"/>
    </row>
    <row r="14" customFormat="false" ht="15" hidden="false" customHeight="false" outlineLevel="0" collapsed="false">
      <c r="A14" s="4" t="s">
        <v>25</v>
      </c>
      <c r="B14" s="7" t="n">
        <f aca="false">B12+B13</f>
        <v>0</v>
      </c>
    </row>
    <row r="16" customFormat="false" ht="15" hidden="false" customHeight="false" outlineLevel="0" collapsed="false">
      <c r="A16" s="2" t="s">
        <v>26</v>
      </c>
      <c r="B16" s="2"/>
      <c r="C16" s="2"/>
    </row>
    <row r="17" customFormat="false" ht="15" hidden="false" customHeight="false" outlineLevel="0" collapsed="false">
      <c r="A17" s="4" t="s">
        <v>21</v>
      </c>
      <c r="B17" s="7" t="n">
        <f aca="false">B9</f>
        <v>0</v>
      </c>
    </row>
    <row r="18" customFormat="false" ht="15" hidden="false" customHeight="false" outlineLevel="0" collapsed="false">
      <c r="A18" s="4" t="s">
        <v>27</v>
      </c>
      <c r="B18" s="7" t="n">
        <f aca="false">B14</f>
        <v>0</v>
      </c>
    </row>
    <row r="19" customFormat="false" ht="15" hidden="false" customHeight="false" outlineLevel="0" collapsed="false">
      <c r="A19" s="4" t="s">
        <v>28</v>
      </c>
      <c r="B19" s="5"/>
    </row>
    <row r="20" customFormat="false" ht="15" hidden="false" customHeight="false" outlineLevel="0" collapsed="false">
      <c r="A20" s="4" t="s">
        <v>29</v>
      </c>
      <c r="B20" s="7" t="n">
        <f aca="false">B17-B18+B19</f>
        <v>0</v>
      </c>
    </row>
    <row r="21" customFormat="false" ht="15" hidden="false" customHeight="false" outlineLevel="0" collapsed="false">
      <c r="A21" s="4" t="s">
        <v>30</v>
      </c>
      <c r="B21" s="7" t="n">
        <f aca="false">B20*0.1</f>
        <v>0</v>
      </c>
    </row>
    <row r="22" customFormat="false" ht="15" hidden="false" customHeight="false" outlineLevel="0" collapsed="false">
      <c r="A22" s="4" t="s">
        <v>31</v>
      </c>
      <c r="B22" s="8" t="n">
        <f aca="false">B20+B21</f>
        <v>0</v>
      </c>
    </row>
  </sheetData>
  <mergeCells count="4">
    <mergeCell ref="A1:C1"/>
    <mergeCell ref="A4:C4"/>
    <mergeCell ref="A11:C1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32</v>
      </c>
      <c r="B1" s="2"/>
    </row>
    <row r="3" customFormat="false" ht="15" hidden="false" customHeight="false" outlineLevel="0" collapsed="false">
      <c r="A3" s="9" t="s">
        <v>33</v>
      </c>
    </row>
    <row r="4" customFormat="false" ht="15" hidden="false" customHeight="false" outlineLevel="0" collapsed="false">
      <c r="A4" s="9" t="s">
        <v>34</v>
      </c>
      <c r="B4" s="3" t="s">
        <v>35</v>
      </c>
    </row>
    <row r="5" customFormat="false" ht="15" hidden="false" customHeight="false" outlineLevel="0" collapsed="false">
      <c r="A5" s="9" t="s">
        <v>36</v>
      </c>
      <c r="B5" s="3" t="s">
        <v>37</v>
      </c>
    </row>
    <row r="6" customFormat="false" ht="15" hidden="false" customHeight="false" outlineLevel="0" collapsed="false">
      <c r="A6" s="9" t="s">
        <v>38</v>
      </c>
      <c r="B6" s="3" t="s">
        <v>39</v>
      </c>
    </row>
    <row r="7" customFormat="false" ht="15" hidden="false" customHeight="false" outlineLevel="0" collapsed="false">
      <c r="A7" s="9" t="s">
        <v>40</v>
      </c>
      <c r="B7" s="3" t="s">
        <v>41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