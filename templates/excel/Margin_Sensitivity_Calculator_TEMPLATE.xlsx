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up" sheetId="1" state="visible" r:id="rId3"/>
    <sheet name="Sensitivity" sheetId="2" state="visible" r:id="rId4"/>
    <sheet name="Instructions" sheetId="3" state="visible" r:id="rId5"/>
  </sheet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<sst xmlns="http://schemas.openxmlformats.org/spreadsheetml/2006/main" count="28" uniqueCount="28">
  <si>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BUSINESS SETUP</t>
  </si>
  <si>
    <t xml:space="preserve">Enter your details — they appear across all sheets.</t>
  </si>
  <si>
    <t xml:space="preserve">Business Name:</t>
  </si>
  <si>
    <t xml:space="preserve">ABN:</t>
  </si>
  <si>
    <t xml:space="preserve">Builder Licence:</t>
  </si>
  <si>
    <t xml:space="preserve">Address:</t>
  </si>
  <si>
    <t xml:space="preserve">Phone:</t>
  </si>
  <si>
    <t xml:space="preserve">Email:</t>
  </si>
  <si>
    <t xml:space="preserve">PROJECT SETUP</t>
  </si>
  <si>
    <t xml:space="preserve">Project Name:</t>
  </si>
  <si>
    <t xml:space="preserve">Estimated Cost (excl GST):</t>
  </si>
  <si>
    <t xml:space="preserve">Target Margin %:</t>
  </si>
  <si>
    <t xml:space="preserve">MARGIN SENSITIVITY CALCULATOR</t>
  </si>
  <si>
    <t xml:space="preserve">Base Cost:</t>
  </si>
  <si>
    <t xml:space="preserve">Target Margin:</t>
  </si>
  <si>
    <t xml:space="preserve">Margin %</t>
  </si>
  <si>
    <t xml:space="preserve">Quote Price</t>
  </si>
  <si>
    <t xml:space="preserve">Profit</t>
  </si>
  <si>
    <t xml:space="preserve">Cost +5%</t>
  </si>
  <si>
    <t xml:space="preserve">Profit @+5%</t>
  </si>
  <si>
    <t xml:space="preserve">Cost +10%</t>
  </si>
  <si>
    <t xml:space="preserve">Profit @+10%</t>
  </si>
  <si>
    <t xml:space="preserve">HOW TO USE THIS MARGIN SENSITIVITY CALCULATOR</t>
  </si>
  <si>
    <t xml:space="preserve">QUICK START</t>
  </si>
  <si>
    <t xml:space="preserve">1. Setup</t>
  </si>
  <si>
    <t xml:space="preserve">Enter your estimated cost and target margin.</t>
  </si>
  <si>
    <t xml:space="preserve">2. Review</t>
  </si>
  <si>
    <t xml:space="preserve">See how different margins affect profit under normal and cost-overrun scenarios.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</si>
</sst>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mbria"/>
      <family val="0"/>
      <charset val="1"/>
    </font>
    <font>
      <sz val="11"/>
      <name val="Calibri"/>
      <family val="0"/>
      <charset val="1"/>
    </font>
    <font>
      <b val="true"/>
      <sz val="10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333399"/>
      </patternFill>
    </fill>
    <fill>
      <patternFill patternType="solid">
        <fgColor rgb="FFF5F5F5"/>
        <bgColor rgb="FFE8F5E9"/>
      </patternFill>
    </fill>
    <fill>
      <patternFill patternType="solid">
        <fgColor rgb="FFE8F5E9"/>
        <bgColor rgb="FFF5F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3366"/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40"/>
  </cols>
  <sheetData>
    <row r="1" customFormat="false" ht="15" hidden="false" customHeight="false" outlineLevel="0" collapsed="false">
      <c r="A1" s="2" t="s">
        <v>0</v>
      </c>
      <c r="B1" s="2"/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  <c r="B4" s="5"/>
    </row>
    <row r="5" customFormat="false" ht="15" hidden="false" customHeight="false" outlineLevel="0" collapsed="false">
      <c r="A5" s="4" t="s">
        <v>3</v>
      </c>
      <c r="B5" s="5"/>
    </row>
    <row r="6" customFormat="false" ht="15" hidden="false" customHeight="false" outlineLevel="0" collapsed="false">
      <c r="A6" s="4" t="s">
        <v>4</v>
      </c>
      <c r="B6" s="5"/>
    </row>
    <row r="7" customFormat="false" ht="15" hidden="false" customHeight="false" outlineLevel="0" collapsed="false">
      <c r="A7" s="4" t="s">
        <v>5</v>
      </c>
      <c r="B7" s="5"/>
    </row>
    <row r="8" customFormat="false" ht="15" hidden="false" customHeight="false" outlineLevel="0" collapsed="false">
      <c r="A8" s="4" t="s">
        <v>6</v>
      </c>
      <c r="B8" s="5"/>
    </row>
    <row r="9" customFormat="false" ht="15" hidden="false" customHeight="false" outlineLevel="0" collapsed="false">
      <c r="A9" s="4" t="s">
        <v>7</v>
      </c>
      <c r="B9" s="5"/>
    </row>
    <row r="11" customFormat="false" ht="15" hidden="false" customHeight="false" outlineLevel="0" collapsed="false">
      <c r="A11" s="2" t="s">
        <v>8</v>
      </c>
      <c r="B11" s="2"/>
    </row>
    <row r="13" customFormat="false" ht="15" hidden="false" customHeight="false" outlineLevel="0" collapsed="false">
      <c r="A13" s="4" t="s">
        <v>9</v>
      </c>
      <c r="B13" s="5"/>
    </row>
    <row r="14" customFormat="false" ht="23.85" hidden="false" customHeight="false" outlineLevel="0" collapsed="false">
      <c r="A14" s="4" t="s">
        <v>10</v>
      </c>
      <c r="B14" s="5"/>
    </row>
    <row r="15" customFormat="false" ht="15" hidden="false" customHeight="false" outlineLevel="0" collapsed="false">
      <c r="A15" s="4" t="s">
        <v>11</v>
      </c>
      <c r="B15" s="5"/>
    </row>
  </sheetData>
  <mergeCells count="2">
    <mergeCell ref="A1:B1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3366"/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7" min="4" style="1" width="16"/>
  </cols>
  <sheetData>
    <row r="1" customFormat="false" ht="15" hidden="false" customHeight="false" outlineLevel="0" collapsed="false">
      <c r="A1" s="2" t="s">
        <v>12</v>
      </c>
      <c r="B1" s="2"/>
      <c r="C1" s="2"/>
      <c r="D1" s="2"/>
      <c r="E1" s="2"/>
      <c r="F1" s="2"/>
      <c r="G1" s="2"/>
    </row>
    <row r="3" customFormat="false" ht="15" hidden="false" customHeight="false" outlineLevel="0" collapsed="false">
      <c r="A3" s="4" t="s">
        <v>13</v>
      </c>
      <c r="B3" s="5" t="n">
        <f aca="false">Setup!B14</f>
        <v>0</v>
      </c>
      <c r="D3" s="4" t="s">
        <v>14</v>
      </c>
      <c r="E3" s="5" t="n">
        <f aca="false">Setup!B15</f>
        <v>0</v>
      </c>
    </row>
    <row r="5" customFormat="false" ht="15" hidden="false" customHeight="false" outlineLevel="0" collapsed="false">
      <c r="A5" s="6" t="s">
        <v>15</v>
      </c>
      <c r="B5" s="6" t="s">
        <v>16</v>
      </c>
      <c r="C5" s="6" t="s">
        <v>17</v>
      </c>
      <c r="D5" s="6" t="s">
        <v>18</v>
      </c>
      <c r="E5" s="6" t="s">
        <v>19</v>
      </c>
      <c r="F5" s="6" t="s">
        <v>20</v>
      </c>
      <c r="G5" s="6" t="s">
        <v>21</v>
      </c>
    </row>
    <row r="6" customFormat="false" ht="15" hidden="false" customHeight="false" outlineLevel="0" collapsed="false">
      <c r="A6" s="7" t="n">
        <v>0.05</v>
      </c>
      <c r="B6" s="8" t="n">
        <f aca="false">$B$3*(1+A6)</f>
        <v>0</v>
      </c>
      <c r="C6" s="8" t="n">
        <f aca="false">B6-$B$3</f>
        <v>0</v>
      </c>
      <c r="D6" s="8" t="n">
        <f aca="false">$B$3*1.05</f>
        <v>0</v>
      </c>
      <c r="E6" s="8" t="n">
        <f aca="false">B6-D6</f>
        <v>0</v>
      </c>
      <c r="F6" s="8" t="n">
        <f aca="false">$B$3*1.1</f>
        <v>0</v>
      </c>
      <c r="G6" s="8" t="n">
        <f aca="false">B6-F6</f>
        <v>0</v>
      </c>
    </row>
    <row r="7" customFormat="false" ht="15" hidden="false" customHeight="false" outlineLevel="0" collapsed="false">
      <c r="A7" s="7" t="n">
        <v>0.08</v>
      </c>
      <c r="B7" s="8" t="n">
        <f aca="false">$B$3*(1+A7)</f>
        <v>0</v>
      </c>
      <c r="C7" s="8" t="n">
        <f aca="false">B7-$B$3</f>
        <v>0</v>
      </c>
      <c r="D7" s="8" t="n">
        <f aca="false">$B$3*1.05</f>
        <v>0</v>
      </c>
      <c r="E7" s="8" t="n">
        <f aca="false">B7-D7</f>
        <v>0</v>
      </c>
      <c r="F7" s="8" t="n">
        <f aca="false">$B$3*1.1</f>
        <v>0</v>
      </c>
      <c r="G7" s="8" t="n">
        <f aca="false">B7-F7</f>
        <v>0</v>
      </c>
    </row>
    <row r="8" customFormat="false" ht="15" hidden="false" customHeight="false" outlineLevel="0" collapsed="false">
      <c r="A8" s="7" t="n">
        <v>0.1</v>
      </c>
      <c r="B8" s="8" t="n">
        <f aca="false">$B$3*(1+A8)</f>
        <v>0</v>
      </c>
      <c r="C8" s="8" t="n">
        <f aca="false">B8-$B$3</f>
        <v>0</v>
      </c>
      <c r="D8" s="8" t="n">
        <f aca="false">$B$3*1.05</f>
        <v>0</v>
      </c>
      <c r="E8" s="8" t="n">
        <f aca="false">B8-D8</f>
        <v>0</v>
      </c>
      <c r="F8" s="8" t="n">
        <f aca="false">$B$3*1.1</f>
        <v>0</v>
      </c>
      <c r="G8" s="8" t="n">
        <f aca="false">B8-F8</f>
        <v>0</v>
      </c>
    </row>
    <row r="9" customFormat="false" ht="15" hidden="false" customHeight="false" outlineLevel="0" collapsed="false">
      <c r="A9" s="7" t="n">
        <v>0.12</v>
      </c>
      <c r="B9" s="8" t="n">
        <f aca="false">$B$3*(1+A9)</f>
        <v>0</v>
      </c>
      <c r="C9" s="8" t="n">
        <f aca="false">B9-$B$3</f>
        <v>0</v>
      </c>
      <c r="D9" s="8" t="n">
        <f aca="false">$B$3*1.05</f>
        <v>0</v>
      </c>
      <c r="E9" s="8" t="n">
        <f aca="false">B9-D9</f>
        <v>0</v>
      </c>
      <c r="F9" s="8" t="n">
        <f aca="false">$B$3*1.1</f>
        <v>0</v>
      </c>
      <c r="G9" s="8" t="n">
        <f aca="false">B9-F9</f>
        <v>0</v>
      </c>
    </row>
    <row r="10" customFormat="false" ht="15" hidden="false" customHeight="false" outlineLevel="0" collapsed="false">
      <c r="A10" s="7" t="n">
        <v>0.15</v>
      </c>
      <c r="B10" s="8" t="n">
        <f aca="false">$B$3*(1+A10)</f>
        <v>0</v>
      </c>
      <c r="C10" s="8" t="n">
        <f aca="false">B10-$B$3</f>
        <v>0</v>
      </c>
      <c r="D10" s="8" t="n">
        <f aca="false">$B$3*1.05</f>
        <v>0</v>
      </c>
      <c r="E10" s="8" t="n">
        <f aca="false">B10-D10</f>
        <v>0</v>
      </c>
      <c r="F10" s="8" t="n">
        <f aca="false">$B$3*1.1</f>
        <v>0</v>
      </c>
      <c r="G10" s="8" t="n">
        <f aca="false">B10-F10</f>
        <v>0</v>
      </c>
    </row>
    <row r="11" customFormat="false" ht="15" hidden="false" customHeight="false" outlineLevel="0" collapsed="false">
      <c r="A11" s="7" t="n">
        <v>0.18</v>
      </c>
      <c r="B11" s="8" t="n">
        <f aca="false">$B$3*(1+A11)</f>
        <v>0</v>
      </c>
      <c r="C11" s="8" t="n">
        <f aca="false">B11-$B$3</f>
        <v>0</v>
      </c>
      <c r="D11" s="8" t="n">
        <f aca="false">$B$3*1.05</f>
        <v>0</v>
      </c>
      <c r="E11" s="8" t="n">
        <f aca="false">B11-D11</f>
        <v>0</v>
      </c>
      <c r="F11" s="8" t="n">
        <f aca="false">$B$3*1.1</f>
        <v>0</v>
      </c>
      <c r="G11" s="8" t="n">
        <f aca="false">B11-F11</f>
        <v>0</v>
      </c>
    </row>
    <row r="12" customFormat="false" ht="15" hidden="false" customHeight="false" outlineLevel="0" collapsed="false">
      <c r="A12" s="7" t="n">
        <v>0.2</v>
      </c>
      <c r="B12" s="8" t="n">
        <f aca="false">$B$3*(1+A12)</f>
        <v>0</v>
      </c>
      <c r="C12" s="8" t="n">
        <f aca="false">B12-$B$3</f>
        <v>0</v>
      </c>
      <c r="D12" s="8" t="n">
        <f aca="false">$B$3*1.05</f>
        <v>0</v>
      </c>
      <c r="E12" s="8" t="n">
        <f aca="false">B12-D12</f>
        <v>0</v>
      </c>
      <c r="F12" s="8" t="n">
        <f aca="false">$B$3*1.1</f>
        <v>0</v>
      </c>
      <c r="G12" s="8" t="n">
        <f aca="false">B12-F12</f>
        <v>0</v>
      </c>
    </row>
    <row r="13" customFormat="false" ht="15" hidden="false" customHeight="false" outlineLevel="0" collapsed="false">
      <c r="A13" s="7" t="n">
        <v>0.22</v>
      </c>
      <c r="B13" s="8" t="n">
        <f aca="false">$B$3*(1+A13)</f>
        <v>0</v>
      </c>
      <c r="C13" s="8" t="n">
        <f aca="false">B13-$B$3</f>
        <v>0</v>
      </c>
      <c r="D13" s="8" t="n">
        <f aca="false">$B$3*1.05</f>
        <v>0</v>
      </c>
      <c r="E13" s="8" t="n">
        <f aca="false">B13-D13</f>
        <v>0</v>
      </c>
      <c r="F13" s="8" t="n">
        <f aca="false">$B$3*1.1</f>
        <v>0</v>
      </c>
      <c r="G13" s="8" t="n">
        <f aca="false">B13-F13</f>
        <v>0</v>
      </c>
    </row>
    <row r="14" customFormat="false" ht="15" hidden="false" customHeight="false" outlineLevel="0" collapsed="false">
      <c r="A14" s="7" t="n">
        <v>0.25</v>
      </c>
      <c r="B14" s="8" t="n">
        <f aca="false">$B$3*(1+A14)</f>
        <v>0</v>
      </c>
      <c r="C14" s="8" t="n">
        <f aca="false">B14-$B$3</f>
        <v>0</v>
      </c>
      <c r="D14" s="8" t="n">
        <f aca="false">$B$3*1.05</f>
        <v>0</v>
      </c>
      <c r="E14" s="8" t="n">
        <f aca="false">B14-D14</f>
        <v>0</v>
      </c>
      <c r="F14" s="8" t="n">
        <f aca="false">$B$3*1.1</f>
        <v>0</v>
      </c>
      <c r="G14" s="8" t="n">
        <f aca="false">B14-F14</f>
        <v>0</v>
      </c>
    </row>
    <row r="15" customFormat="false" ht="15" hidden="false" customHeight="false" outlineLevel="0" collapsed="false">
      <c r="A15" s="7" t="n">
        <v>0.3</v>
      </c>
      <c r="B15" s="8" t="n">
        <f aca="false">$B$3*(1+A15)</f>
        <v>0</v>
      </c>
      <c r="C15" s="8" t="n">
        <f aca="false">B15-$B$3</f>
        <v>0</v>
      </c>
      <c r="D15" s="8" t="n">
        <f aca="false">$B$3*1.05</f>
        <v>0</v>
      </c>
      <c r="E15" s="8" t="n">
        <f aca="false">B15-D15</f>
        <v>0</v>
      </c>
      <c r="F15" s="8" t="n">
        <f aca="false">$B$3*1.1</f>
        <v>0</v>
      </c>
      <c r="G15" s="8" t="n">
        <f aca="false">B15-F15</f>
        <v>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70"/>
  </cols>
  <sheetData>
    <row r="1" customFormat="false" ht="15" hidden="false" customHeight="false" outlineLevel="0" collapsed="false">
      <c r="A1" s="2" t="s">
        <v>22</v>
      </c>
      <c r="B1" s="2"/>
    </row>
    <row r="3" customFormat="false" ht="15" hidden="false" customHeight="false" outlineLevel="0" collapsed="false">
      <c r="A3" s="9" t="s">
        <v>23</v>
      </c>
    </row>
    <row r="4" customFormat="false" ht="15" hidden="false" customHeight="false" outlineLevel="0" collapsed="false">
      <c r="A4" s="9" t="s">
        <v>24</v>
      </c>
      <c r="B4" s="3" t="s">
        <v>25</v>
      </c>
    </row>
    <row r="5" customFormat="false" ht="15" hidden="false" customHeight="false" outlineLevel="0" collapsed="false">
      <c r="A5" s="9" t="s">
        <v>26</v>
      </c>
      <c r="B5" s="3" t="s">
        <v>27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2026-02-06T11:16:03Z</dcterms:created>
  <dc:creator>openpyxl</dc:creator>
  <dc:description/>
  <dc:language>en-US</dc:language>
  <cp:lastModifiedBy/>
  <dcterms:modified xsi:type="dcterms:W3CDTF">2026-02-06T11:16:03Z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