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Sensitivity" sheetId="2" state="visible" r:id="rId2"/>
    <sheet xmlns:r="http://schemas.openxmlformats.org/officeDocument/2006/relationships" name="Instructions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2"/>
    </font>
    <font>
      <name val="Calibri"/>
      <charset val="1"/>
      <family val="0"/>
      <sz val="11"/>
    </font>
    <font>
      <name val="Cambria"/>
      <charset val="1"/>
      <family val="0"/>
      <b val="1"/>
      <sz val="10"/>
    </font>
    <font>
      <name val="Cambria"/>
      <charset val="1"/>
      <family val="0"/>
      <b val="1"/>
      <sz val="11"/>
    </font>
  </fonts>
  <fills count="5">
    <fill>
      <patternFill/>
    </fill>
    <fill>
      <patternFill patternType="gray125"/>
    </fill>
    <fill>
      <patternFill patternType="solid">
        <fgColor rgb="FF003366"/>
        <bgColor rgb="FF333399"/>
      </patternFill>
    </fill>
    <fill>
      <patternFill patternType="solid">
        <fgColor rgb="FFF5F5F5"/>
        <bgColor rgb="FFE8F5E9"/>
      </patternFill>
    </fill>
    <fill>
      <patternFill patternType="solid">
        <fgColor rgb="FFE8F5E9"/>
        <bgColor rgb="FFF5F5F5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003366"/>
    <outlinePr summaryBelow="1" summaryRight="1"/>
    <pageSetUpPr fitToPage="0"/>
  </sheetPr>
  <dimension ref="A1:B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0" min="1" max="1"/>
    <col width="40" customWidth="1" style="10" min="2" max="2"/>
  </cols>
  <sheetData>
    <row r="1" ht="15" customHeight="1" s="11">
      <c r="A1" s="12" t="inlineStr">
        <is>
          <t>BUSINESS SETUP</t>
        </is>
      </c>
    </row>
    <row r="2" ht="15" customHeight="1" s="11">
      <c r="A2" s="13" t="inlineStr">
        <is>
          <t>Enter your details — they appear across all sheets.</t>
        </is>
      </c>
    </row>
    <row r="4" ht="15" customHeight="1" s="11">
      <c r="A4" s="14" t="inlineStr">
        <is>
          <t>Business Name:</t>
        </is>
      </c>
      <c r="B4" s="15" t="n"/>
    </row>
    <row r="5" ht="15" customHeight="1" s="11">
      <c r="A5" s="14" t="inlineStr">
        <is>
          <t>ABN:</t>
        </is>
      </c>
      <c r="B5" s="15" t="n"/>
    </row>
    <row r="6" ht="15" customHeight="1" s="11">
      <c r="A6" s="14" t="inlineStr">
        <is>
          <t>Builder Licence:</t>
        </is>
      </c>
      <c r="B6" s="15" t="n"/>
    </row>
    <row r="7" ht="15" customHeight="1" s="11">
      <c r="A7" s="14" t="inlineStr">
        <is>
          <t>Address:</t>
        </is>
      </c>
      <c r="B7" s="15" t="n"/>
    </row>
    <row r="8" ht="15" customHeight="1" s="11">
      <c r="A8" s="14" t="inlineStr">
        <is>
          <t>Phone:</t>
        </is>
      </c>
      <c r="B8" s="15" t="n"/>
    </row>
    <row r="9" ht="15" customHeight="1" s="11">
      <c r="A9" s="14" t="inlineStr">
        <is>
          <t>Email:</t>
        </is>
      </c>
      <c r="B9" s="15" t="n"/>
    </row>
    <row r="11" ht="15" customHeight="1" s="11">
      <c r="A11" s="12" t="inlineStr">
        <is>
          <t>PROJECT SETUP</t>
        </is>
      </c>
    </row>
    <row r="13" ht="15" customHeight="1" s="11">
      <c r="A13" s="14" t="inlineStr">
        <is>
          <t>Project Name:</t>
        </is>
      </c>
      <c r="B13" s="15" t="n"/>
    </row>
    <row r="14" ht="23.85" customHeight="1" s="11">
      <c r="A14" s="14" t="inlineStr">
        <is>
          <t>Estimated Cost (excl GST):</t>
        </is>
      </c>
      <c r="B14" s="15" t="n"/>
    </row>
    <row r="15" ht="15" customHeight="1" s="11">
      <c r="A15" s="14" t="inlineStr">
        <is>
          <t>Target Markup %:</t>
        </is>
      </c>
      <c r="B15" s="15" t="n"/>
    </row>
  </sheetData>
  <mergeCells count="2">
    <mergeCell ref="A11:B11"/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003366"/>
    <outlinePr summaryBelow="1" summaryRight="1"/>
    <pageSetUpPr fitToPage="0"/>
  </sheetPr>
  <dimension ref="A1:H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0" min="1" max="1"/>
    <col width="16" customWidth="1" style="10" min="2" max="2"/>
    <col width="14" customWidth="1" style="10" min="3" max="3"/>
    <col width="16" customWidth="1" style="10" min="4" max="7"/>
    <col width="13" customWidth="1" style="11" min="7" max="7"/>
    <col width="16" customWidth="1" style="11" min="8" max="8"/>
  </cols>
  <sheetData>
    <row r="1" ht="15" customHeight="1" s="11">
      <c r="A1" s="12" t="inlineStr">
        <is>
          <t>MARGIN SENSITIVITY CALCULATOR</t>
        </is>
      </c>
    </row>
    <row r="3" ht="15" customHeight="1" s="11">
      <c r="A3" s="14" t="inlineStr">
        <is>
          <t>Base Cost:</t>
        </is>
      </c>
      <c r="B3" s="15">
        <f>Setup!B14</f>
        <v/>
      </c>
      <c r="D3" s="14" t="inlineStr">
        <is>
          <t>Target Markup:</t>
        </is>
      </c>
      <c r="E3" s="15">
        <f>Setup!B15</f>
        <v/>
      </c>
    </row>
    <row r="5" ht="15" customHeight="1" s="11">
      <c r="A5" s="16" t="inlineStr">
        <is>
          <t>Markup %</t>
        </is>
      </c>
      <c r="B5" s="16" t="inlineStr">
        <is>
          <t>Quote Price</t>
        </is>
      </c>
      <c r="C5" s="16" t="inlineStr">
        <is>
          <t>Profit</t>
        </is>
      </c>
      <c r="D5" s="16" t="inlineStr">
        <is>
          <t>Cost +5%</t>
        </is>
      </c>
      <c r="E5" s="16" t="inlineStr">
        <is>
          <t>Profit @+5%</t>
        </is>
      </c>
      <c r="F5" s="16" t="inlineStr">
        <is>
          <t>Cost +10%</t>
        </is>
      </c>
      <c r="G5" s="16" t="inlineStr">
        <is>
          <t>Profit @+10%</t>
        </is>
      </c>
      <c r="H5" s="16" t="inlineStr">
        <is>
          <t>Margin on Price %</t>
        </is>
      </c>
    </row>
    <row r="6" ht="15" customHeight="1" s="11">
      <c r="A6" s="17" t="n">
        <v>0.05</v>
      </c>
      <c r="B6" s="18">
        <f>$B$3*(1+A6)</f>
        <v/>
      </c>
      <c r="C6" s="18">
        <f>B6-$B$3</f>
        <v/>
      </c>
      <c r="D6" s="18">
        <f>$B$3*1.05</f>
        <v/>
      </c>
      <c r="E6" s="18">
        <f>B6-D6</f>
        <v/>
      </c>
      <c r="F6" s="18">
        <f>$B$3*1.1</f>
        <v/>
      </c>
      <c r="G6" s="18">
        <f>B6-F6</f>
        <v/>
      </c>
      <c r="H6" s="20">
        <f>IF(B6=0,"",C6/B6)</f>
        <v/>
      </c>
    </row>
    <row r="7" ht="15" customHeight="1" s="11">
      <c r="A7" s="17" t="n">
        <v>0.08</v>
      </c>
      <c r="B7" s="18">
        <f>$B$3*(1+A7)</f>
        <v/>
      </c>
      <c r="C7" s="18">
        <f>B7-$B$3</f>
        <v/>
      </c>
      <c r="D7" s="18">
        <f>$B$3*1.05</f>
        <v/>
      </c>
      <c r="E7" s="18">
        <f>B7-D7</f>
        <v/>
      </c>
      <c r="F7" s="18">
        <f>$B$3*1.1</f>
        <v/>
      </c>
      <c r="G7" s="18">
        <f>B7-F7</f>
        <v/>
      </c>
      <c r="H7" s="20">
        <f>IF(B7=0,"",C7/B7)</f>
        <v/>
      </c>
    </row>
    <row r="8" ht="15" customHeight="1" s="11">
      <c r="A8" s="17" t="n">
        <v>0.1</v>
      </c>
      <c r="B8" s="18">
        <f>$B$3*(1+A8)</f>
        <v/>
      </c>
      <c r="C8" s="18">
        <f>B8-$B$3</f>
        <v/>
      </c>
      <c r="D8" s="18">
        <f>$B$3*1.05</f>
        <v/>
      </c>
      <c r="E8" s="18">
        <f>B8-D8</f>
        <v/>
      </c>
      <c r="F8" s="18">
        <f>$B$3*1.1</f>
        <v/>
      </c>
      <c r="G8" s="18">
        <f>B8-F8</f>
        <v/>
      </c>
      <c r="H8" s="20">
        <f>IF(B8=0,"",C8/B8)</f>
        <v/>
      </c>
    </row>
    <row r="9" ht="15" customHeight="1" s="11">
      <c r="A9" s="17" t="n">
        <v>0.12</v>
      </c>
      <c r="B9" s="18">
        <f>$B$3*(1+A9)</f>
        <v/>
      </c>
      <c r="C9" s="18">
        <f>B9-$B$3</f>
        <v/>
      </c>
      <c r="D9" s="18">
        <f>$B$3*1.05</f>
        <v/>
      </c>
      <c r="E9" s="18">
        <f>B9-D9</f>
        <v/>
      </c>
      <c r="F9" s="18">
        <f>$B$3*1.1</f>
        <v/>
      </c>
      <c r="G9" s="18">
        <f>B9-F9</f>
        <v/>
      </c>
      <c r="H9" s="20">
        <f>IF(B9=0,"",C9/B9)</f>
        <v/>
      </c>
    </row>
    <row r="10" ht="15" customHeight="1" s="11">
      <c r="A10" s="17" t="n">
        <v>0.15</v>
      </c>
      <c r="B10" s="18">
        <f>$B$3*(1+A10)</f>
        <v/>
      </c>
      <c r="C10" s="18">
        <f>B10-$B$3</f>
        <v/>
      </c>
      <c r="D10" s="18">
        <f>$B$3*1.05</f>
        <v/>
      </c>
      <c r="E10" s="18">
        <f>B10-D10</f>
        <v/>
      </c>
      <c r="F10" s="18">
        <f>$B$3*1.1</f>
        <v/>
      </c>
      <c r="G10" s="18">
        <f>B10-F10</f>
        <v/>
      </c>
      <c r="H10" s="20">
        <f>IF(B10=0,"",C10/B10)</f>
        <v/>
      </c>
    </row>
    <row r="11" ht="15" customHeight="1" s="11">
      <c r="A11" s="17" t="n">
        <v>0.18</v>
      </c>
      <c r="B11" s="18">
        <f>$B$3*(1+A11)</f>
        <v/>
      </c>
      <c r="C11" s="18">
        <f>B11-$B$3</f>
        <v/>
      </c>
      <c r="D11" s="18">
        <f>$B$3*1.05</f>
        <v/>
      </c>
      <c r="E11" s="18">
        <f>B11-D11</f>
        <v/>
      </c>
      <c r="F11" s="18">
        <f>$B$3*1.1</f>
        <v/>
      </c>
      <c r="G11" s="18">
        <f>B11-F11</f>
        <v/>
      </c>
      <c r="H11" s="20">
        <f>IF(B11=0,"",C11/B11)</f>
        <v/>
      </c>
    </row>
    <row r="12" ht="15" customHeight="1" s="11">
      <c r="A12" s="17" t="n">
        <v>0.2</v>
      </c>
      <c r="B12" s="18">
        <f>$B$3*(1+A12)</f>
        <v/>
      </c>
      <c r="C12" s="18">
        <f>B12-$B$3</f>
        <v/>
      </c>
      <c r="D12" s="18">
        <f>$B$3*1.05</f>
        <v/>
      </c>
      <c r="E12" s="18">
        <f>B12-D12</f>
        <v/>
      </c>
      <c r="F12" s="18">
        <f>$B$3*1.1</f>
        <v/>
      </c>
      <c r="G12" s="18">
        <f>B12-F12</f>
        <v/>
      </c>
      <c r="H12" s="20">
        <f>IF(B12=0,"",C12/B12)</f>
        <v/>
      </c>
    </row>
    <row r="13" ht="15" customHeight="1" s="11">
      <c r="A13" s="17" t="n">
        <v>0.22</v>
      </c>
      <c r="B13" s="18">
        <f>$B$3*(1+A13)</f>
        <v/>
      </c>
      <c r="C13" s="18">
        <f>B13-$B$3</f>
        <v/>
      </c>
      <c r="D13" s="18">
        <f>$B$3*1.05</f>
        <v/>
      </c>
      <c r="E13" s="18">
        <f>B13-D13</f>
        <v/>
      </c>
      <c r="F13" s="18">
        <f>$B$3*1.1</f>
        <v/>
      </c>
      <c r="G13" s="18">
        <f>B13-F13</f>
        <v/>
      </c>
      <c r="H13" s="20">
        <f>IF(B13=0,"",C13/B13)</f>
        <v/>
      </c>
    </row>
    <row r="14" ht="15" customHeight="1" s="11">
      <c r="A14" s="17" t="n">
        <v>0.25</v>
      </c>
      <c r="B14" s="18">
        <f>$B$3*(1+A14)</f>
        <v/>
      </c>
      <c r="C14" s="18">
        <f>B14-$B$3</f>
        <v/>
      </c>
      <c r="D14" s="18">
        <f>$B$3*1.05</f>
        <v/>
      </c>
      <c r="E14" s="18">
        <f>B14-D14</f>
        <v/>
      </c>
      <c r="F14" s="18">
        <f>$B$3*1.1</f>
        <v/>
      </c>
      <c r="G14" s="18">
        <f>B14-F14</f>
        <v/>
      </c>
      <c r="H14" s="20">
        <f>IF(B14=0,"",C14/B14)</f>
        <v/>
      </c>
    </row>
    <row r="15" ht="15" customHeight="1" s="11">
      <c r="A15" s="17" t="n">
        <v>0.3</v>
      </c>
      <c r="B15" s="18">
        <f>$B$3*(1+A15)</f>
        <v/>
      </c>
      <c r="C15" s="18">
        <f>B15-$B$3</f>
        <v/>
      </c>
      <c r="D15" s="18">
        <f>$B$3*1.05</f>
        <v/>
      </c>
      <c r="E15" s="18">
        <f>B15-D15</f>
        <v/>
      </c>
      <c r="F15" s="18">
        <f>$B$3*1.1</f>
        <v/>
      </c>
      <c r="G15" s="18">
        <f>B15-F15</f>
        <v/>
      </c>
      <c r="H15" s="20">
        <f>IF(B15=0,"",C15/B15)</f>
        <v/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4472C4"/>
    <outlinePr summaryBelow="1" summaryRight="1"/>
    <pageSetUpPr fitToPage="0"/>
  </sheetPr>
  <dimension ref="A1:B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0" min="1" max="1"/>
    <col width="70" customWidth="1" style="10" min="2" max="2"/>
  </cols>
  <sheetData>
    <row r="1" ht="15" customHeight="1" s="11">
      <c r="A1" s="12" t="inlineStr">
        <is>
          <t>HOW TO USE THIS MARGIN SENSITIVITY CALCULATOR</t>
        </is>
      </c>
    </row>
    <row r="3" ht="15" customHeight="1" s="11">
      <c r="A3" s="19" t="inlineStr">
        <is>
          <t>QUICK START</t>
        </is>
      </c>
    </row>
    <row r="4" ht="15" customHeight="1" s="11">
      <c r="A4" s="19" t="inlineStr">
        <is>
          <t>1. Setup</t>
        </is>
      </c>
      <c r="B4" s="13" t="inlineStr">
        <is>
          <t>Enter your estimated cost and target margin.</t>
        </is>
      </c>
    </row>
    <row r="5" ht="15" customHeight="1" s="11">
      <c r="A5" s="19" t="inlineStr">
        <is>
          <t>2. Review</t>
        </is>
      </c>
      <c r="B5" s="13" t="inlineStr">
        <is>
          <t>See how different margins affect profit under normal and cost-overrun scenarios.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2026-02-06T11:16:03Z</dcterms:created>
  <dcterms:modified xmlns:dcterms="http://purl.org/dc/terms/" xmlns:xsi="http://www.w3.org/2001/XMLSchema-instance" xsi:type="dcterms:W3CDTF">2026-10-16T10:27:57Z</dcterms:modified>
  <cp:revision>0</cp:revision>
</cp:coreProperties>
</file>